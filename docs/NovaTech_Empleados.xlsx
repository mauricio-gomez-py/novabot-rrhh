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" sheetId="1" r:id="rId5"/>
    <sheet state="visible" name="Resumen Departamentos" sheetId="2" r:id="rId6"/>
    <sheet state="visible" name="Solicitudes Vacaciones" sheetId="3" r:id="rId7"/>
    <sheet state="visible" name="Registro Conversaciones" sheetId="4" r:id="rId8"/>
  </sheets>
  <definedNames/>
  <calcPr/>
</workbook>
</file>

<file path=xl/sharedStrings.xml><?xml version="1.0" encoding="utf-8"?>
<sst xmlns="http://schemas.openxmlformats.org/spreadsheetml/2006/main" count="524" uniqueCount="281">
  <si>
    <t>ID</t>
  </si>
  <si>
    <t>Nombre Completo</t>
  </si>
  <si>
    <t>Correo Corporativo</t>
  </si>
  <si>
    <t>Departamento</t>
  </si>
  <si>
    <t>Cargo</t>
  </si>
  <si>
    <t>Supervisor Directo</t>
  </si>
  <si>
    <t>Fecha de Ingreso</t>
  </si>
  <si>
    <t>Antigüedad</t>
  </si>
  <si>
    <t>Años en Empresa</t>
  </si>
  <si>
    <t>Días Vac. Acumulados</t>
  </si>
  <si>
    <t>Días Vac. Tomados</t>
  </si>
  <si>
    <t>Días Vac. Pendientes</t>
  </si>
  <si>
    <t>Estado</t>
  </si>
  <si>
    <t>NVT-1001</t>
  </si>
  <si>
    <t>Carlos Mendoza</t>
  </si>
  <si>
    <t>carlos.mendoza@novatech.co</t>
  </si>
  <si>
    <t>Engineering - Backend</t>
  </si>
  <si>
    <t>Backend Developer Sr</t>
  </si>
  <si>
    <t>Miguel Ríos (Tech Lead Backend)</t>
  </si>
  <si>
    <t>1-2 años</t>
  </si>
  <si>
    <t>Activo</t>
  </si>
  <si>
    <t>NVT-1002</t>
  </si>
  <si>
    <t>Sofía Restrepo</t>
  </si>
  <si>
    <t>sofia.restrepo@novatech.co</t>
  </si>
  <si>
    <t>3-5 años</t>
  </si>
  <si>
    <t>NVT-1003</t>
  </si>
  <si>
    <t>Andrés Castaño</t>
  </si>
  <si>
    <t>andres.castano@novatech.co</t>
  </si>
  <si>
    <t>Backend Developer Jr</t>
  </si>
  <si>
    <t>NVT-1004</t>
  </si>
  <si>
    <t>Laura Gómez</t>
  </si>
  <si>
    <t>laura.gomez@novatech.co</t>
  </si>
  <si>
    <t>5+ años</t>
  </si>
  <si>
    <t>NVT-1005</t>
  </si>
  <si>
    <t>Miguel Ríos</t>
  </si>
  <si>
    <t>miguel.rios@novatech.co</t>
  </si>
  <si>
    <t>Tech Lead Backend</t>
  </si>
  <si>
    <t>Iván Córdoba (VP Engineering)</t>
  </si>
  <si>
    <t>NVT-1006</t>
  </si>
  <si>
    <t>Valeria Torres</t>
  </si>
  <si>
    <t>valeria.torres@novatech.co</t>
  </si>
  <si>
    <t>Backend Developer Mid</t>
  </si>
  <si>
    <t>NVT-1007</t>
  </si>
  <si>
    <t>Juan Parra</t>
  </si>
  <si>
    <t>juan.parra@novatech.co</t>
  </si>
  <si>
    <t>NVT-1008</t>
  </si>
  <si>
    <t>Daniela Vargas</t>
  </si>
  <si>
    <t>daniela.vargas@novatech.co</t>
  </si>
  <si>
    <t>NVT-1009</t>
  </si>
  <si>
    <t>Felipe Sánchez</t>
  </si>
  <si>
    <t>felipe.sanchez@novatech.co</t>
  </si>
  <si>
    <t>NVT-1010</t>
  </si>
  <si>
    <t>Isabella Cruz</t>
  </si>
  <si>
    <t>isabella.cruz@novatech.co</t>
  </si>
  <si>
    <t>NVT-1011</t>
  </si>
  <si>
    <t>Camila Herrera</t>
  </si>
  <si>
    <t>camila.herrera@novatech.co</t>
  </si>
  <si>
    <t>Engineering - Frontend</t>
  </si>
  <si>
    <t>Frontend Developer Sr</t>
  </si>
  <si>
    <t>Sebastián Jiménez (Tech Lead Frontend)</t>
  </si>
  <si>
    <t>&lt; 1 año</t>
  </si>
  <si>
    <t>NVT-1012</t>
  </si>
  <si>
    <t>Santiago López</t>
  </si>
  <si>
    <t>santiago.lopez@novatech.co</t>
  </si>
  <si>
    <t>Frontend Developer Mid</t>
  </si>
  <si>
    <t>2-3 años</t>
  </si>
  <si>
    <t>NVT-1013</t>
  </si>
  <si>
    <t>Natalia Moreno</t>
  </si>
  <si>
    <t>natalia.moreno@novatech.co</t>
  </si>
  <si>
    <t>Frontend Developer Jr</t>
  </si>
  <si>
    <t>NVT-1014</t>
  </si>
  <si>
    <t>Sebastián Jiménez</t>
  </si>
  <si>
    <t>sebastian.jimenez@novatech.co</t>
  </si>
  <si>
    <t>Tech Lead Frontend</t>
  </si>
  <si>
    <t>NVT-1015</t>
  </si>
  <si>
    <t>Valentina Ruiz</t>
  </si>
  <si>
    <t>valentina.ruiz@novatech.co</t>
  </si>
  <si>
    <t>NVT-1016</t>
  </si>
  <si>
    <t>Diego Ramírez</t>
  </si>
  <si>
    <t>diego.ramirez@novatech.co</t>
  </si>
  <si>
    <t>NVT-1017</t>
  </si>
  <si>
    <t>Ana Fernández</t>
  </si>
  <si>
    <t>ana.fernandez@novatech.co</t>
  </si>
  <si>
    <t>NVT-1018</t>
  </si>
  <si>
    <t>Pablo Ortiz</t>
  </si>
  <si>
    <t>pablo.ortiz@novatech.co</t>
  </si>
  <si>
    <t>NVT-1019</t>
  </si>
  <si>
    <t>María Salazar</t>
  </si>
  <si>
    <t>maria.salazar@novatech.co</t>
  </si>
  <si>
    <t>Design</t>
  </si>
  <si>
    <t>UX/UI Designer Sr</t>
  </si>
  <si>
    <t>Luciana Bermúdez (PM Sr)</t>
  </si>
  <si>
    <t>NVT-1020</t>
  </si>
  <si>
    <t>Tomás Guerrero</t>
  </si>
  <si>
    <t>tomas.guerrero@novatech.co</t>
  </si>
  <si>
    <t>UX/UI Designer Jr</t>
  </si>
  <si>
    <t>NVT-1021</t>
  </si>
  <si>
    <t>Luisa Peña</t>
  </si>
  <si>
    <t>luisa.pena@novatech.co</t>
  </si>
  <si>
    <t>Product Designer</t>
  </si>
  <si>
    <t>NVT-1022</t>
  </si>
  <si>
    <t>Mateo Rojas</t>
  </si>
  <si>
    <t>mateo.rojas@novatech.co</t>
  </si>
  <si>
    <t>UX Researcher</t>
  </si>
  <si>
    <t>NVT-1023</t>
  </si>
  <si>
    <t>Juliana Castro</t>
  </si>
  <si>
    <t>juliana.castro@novatech.co</t>
  </si>
  <si>
    <t>UX/UI Designer Mid</t>
  </si>
  <si>
    <t>NVT-1024</t>
  </si>
  <si>
    <t>Ricardo Mora</t>
  </si>
  <si>
    <t>ricardo.mora@novatech.co</t>
  </si>
  <si>
    <t>Data &amp; Analytics</t>
  </si>
  <si>
    <t>Data Engineer Sr</t>
  </si>
  <si>
    <t>Marcela Estrada (CTO)</t>
  </si>
  <si>
    <t>NVT-1025</t>
  </si>
  <si>
    <t>Gabriela Suárez</t>
  </si>
  <si>
    <t>gabriela.suarez@novatech.co</t>
  </si>
  <si>
    <t>Data Engineer Mid</t>
  </si>
  <si>
    <t>NVT-1026</t>
  </si>
  <si>
    <t>David Mejía</t>
  </si>
  <si>
    <t>david.mejia@novatech.co</t>
  </si>
  <si>
    <t>Data Engineer Jr</t>
  </si>
  <si>
    <t>NVT-1027</t>
  </si>
  <si>
    <t>Alejandra Navarro</t>
  </si>
  <si>
    <t>alejandra.navarro@novatech.co</t>
  </si>
  <si>
    <t>Data Scientist</t>
  </si>
  <si>
    <t>NVT-1028</t>
  </si>
  <si>
    <t>Nicolás Vega</t>
  </si>
  <si>
    <t>nicolas.vega@novatech.co</t>
  </si>
  <si>
    <t>Data Analyst Sr</t>
  </si>
  <si>
    <t>NVT-1029</t>
  </si>
  <si>
    <t>Paola Cárdenas</t>
  </si>
  <si>
    <t>paola.cardenas@novatech.co</t>
  </si>
  <si>
    <t>NVT-1030</t>
  </si>
  <si>
    <t>Esteban Guzman</t>
  </si>
  <si>
    <t>esteban.guzman@novatech.co</t>
  </si>
  <si>
    <t>ML Engineer</t>
  </si>
  <si>
    <t>NVT-1031</t>
  </si>
  <si>
    <t>Luciana Bermúdez</t>
  </si>
  <si>
    <t>luciana.bermudez@novatech.co</t>
  </si>
  <si>
    <t>Product</t>
  </si>
  <si>
    <t>Product Manager Sr</t>
  </si>
  <si>
    <t>NVT-1032</t>
  </si>
  <si>
    <t>Cristóbal Serrano</t>
  </si>
  <si>
    <t>cristobal.serrano@novatech.co</t>
  </si>
  <si>
    <t>Product Manager Jr</t>
  </si>
  <si>
    <t>NVT-1033</t>
  </si>
  <si>
    <t>Nathalia Aguilar</t>
  </si>
  <si>
    <t>nathalia.aguilar@novatech.co</t>
  </si>
  <si>
    <t>Product Owner</t>
  </si>
  <si>
    <t>NVT-1034</t>
  </si>
  <si>
    <t>Rodrigo Blanco</t>
  </si>
  <si>
    <t>rodrigo.blanco@novatech.co</t>
  </si>
  <si>
    <t>Product Manager Mid</t>
  </si>
  <si>
    <t>NVT-1035</t>
  </si>
  <si>
    <t>Manuela Arias</t>
  </si>
  <si>
    <t>manuela.arias@novatech.co</t>
  </si>
  <si>
    <t>QA &amp; Testing</t>
  </si>
  <si>
    <t>QA Engineer Sr</t>
  </si>
  <si>
    <t>NVT-1036</t>
  </si>
  <si>
    <t>Josué Carrillo</t>
  </si>
  <si>
    <t>josue.carrillo@novatech.co</t>
  </si>
  <si>
    <t>QA Engineer Jr</t>
  </si>
  <si>
    <t>NVT-1037</t>
  </si>
  <si>
    <t>Andrea Fuentes</t>
  </si>
  <si>
    <t>andrea.fuentes@novatech.co</t>
  </si>
  <si>
    <t>QA Automation Engineer</t>
  </si>
  <si>
    <t>NVT-1038</t>
  </si>
  <si>
    <t>Bryan Mendez</t>
  </si>
  <si>
    <t>bryan.mendez@novatech.co</t>
  </si>
  <si>
    <t>QA Engineer Mid</t>
  </si>
  <si>
    <t>NVT-1039</t>
  </si>
  <si>
    <t>Emilio Acosta</t>
  </si>
  <si>
    <t>emilio.acosta@novatech.co</t>
  </si>
  <si>
    <t>DevOps &amp; Infrastructure</t>
  </si>
  <si>
    <t>DevOps Engineer Sr</t>
  </si>
  <si>
    <t>NVT-1040</t>
  </si>
  <si>
    <t>Tatiana Delgado</t>
  </si>
  <si>
    <t>tatiana.delgado@novatech.co</t>
  </si>
  <si>
    <t>Cloud Engineer</t>
  </si>
  <si>
    <t>NVT-1041</t>
  </si>
  <si>
    <t>Héctor Ibáñez</t>
  </si>
  <si>
    <t>hector.ibanez@novatech.co</t>
  </si>
  <si>
    <t>DevOps Engineer Mid</t>
  </si>
  <si>
    <t>NVT-1042</t>
  </si>
  <si>
    <t>Carolina Montoya</t>
  </si>
  <si>
    <t>carolina.montoya@novatech.co</t>
  </si>
  <si>
    <t>Site Reliability Engineer</t>
  </si>
  <si>
    <t>NVT-1043</t>
  </si>
  <si>
    <t>Gloria Espinosa</t>
  </si>
  <si>
    <t>gloria.espinosa@novatech.co</t>
  </si>
  <si>
    <t>Finance</t>
  </si>
  <si>
    <t>Financial Analyst Sr</t>
  </si>
  <si>
    <t>Fernando Medina (CFO)</t>
  </si>
  <si>
    <t>NVT-1044</t>
  </si>
  <si>
    <t>Arturo Villamizar</t>
  </si>
  <si>
    <t>arturo.villamizar@novatech.co</t>
  </si>
  <si>
    <t>Financial Controller</t>
  </si>
  <si>
    <t>NVT-1045</t>
  </si>
  <si>
    <t>Verónica Trujillo</t>
  </si>
  <si>
    <t>veronica.trujillo@novatech.co</t>
  </si>
  <si>
    <t>Financial Analyst Jr</t>
  </si>
  <si>
    <t>NVT-1046</t>
  </si>
  <si>
    <t>Fernando Medina</t>
  </si>
  <si>
    <t>fernando.medina@novatech.co</t>
  </si>
  <si>
    <t>CFO</t>
  </si>
  <si>
    <t>Junta Directiva</t>
  </si>
  <si>
    <t>NVT-1047</t>
  </si>
  <si>
    <t>Patricia Londoño</t>
  </si>
  <si>
    <t>patricia.londono@novatech.co</t>
  </si>
  <si>
    <t>Accounting</t>
  </si>
  <si>
    <t>Senior Accountant</t>
  </si>
  <si>
    <t>NVT-1048</t>
  </si>
  <si>
    <t>Mauricio Pizarro</t>
  </si>
  <si>
    <t>mauricio.pizarro@novatech.co</t>
  </si>
  <si>
    <t>Junior Accountant</t>
  </si>
  <si>
    <t>NVT-1049</t>
  </si>
  <si>
    <t>Silvia Quintero</t>
  </si>
  <si>
    <t>silvia.quintero@novatech.co</t>
  </si>
  <si>
    <t>Accounting Manager</t>
  </si>
  <si>
    <t>NVT-1050</t>
  </si>
  <si>
    <t>Adriana Cano</t>
  </si>
  <si>
    <t>adriana.cano@novatech.co</t>
  </si>
  <si>
    <t>Human Resources</t>
  </si>
  <si>
    <t>HR Manager</t>
  </si>
  <si>
    <t>Adriana Cano (HR Manager)</t>
  </si>
  <si>
    <t>NVT-1051</t>
  </si>
  <si>
    <t>Gabriel Osorio</t>
  </si>
  <si>
    <t>gabriel.osorio@novatech.co</t>
  </si>
  <si>
    <t>HR Business Partner</t>
  </si>
  <si>
    <t>NVT-1052</t>
  </si>
  <si>
    <t>Lina Zapata</t>
  </si>
  <si>
    <t>lina.zapata@novatech.co</t>
  </si>
  <si>
    <t>HR Analyst</t>
  </si>
  <si>
    <t>NVT-1053</t>
  </si>
  <si>
    <t>Roberto Salamanca</t>
  </si>
  <si>
    <t>roberto.salamanca@novatech.co</t>
  </si>
  <si>
    <t>Executive</t>
  </si>
  <si>
    <t>CEO</t>
  </si>
  <si>
    <t>NVT-1054</t>
  </si>
  <si>
    <t>Marcela Estrada</t>
  </si>
  <si>
    <t>marcela.estrada@novatech.co</t>
  </si>
  <si>
    <t>CTO</t>
  </si>
  <si>
    <t>NVT-1055</t>
  </si>
  <si>
    <t>Iván Córdoba</t>
  </si>
  <si>
    <t>ivan.cordoba@novatech.co</t>
  </si>
  <si>
    <t>VP of Engineering</t>
  </si>
  <si>
    <t>TOTAL</t>
  </si>
  <si>
    <t>NOVATECH — Resumen de Empleados por Departamento</t>
  </si>
  <si>
    <t>Generado: 15/03/2026</t>
  </si>
  <si>
    <t>N° Empleados</t>
  </si>
  <si>
    <t>Vac. Acumuladas (Total)</t>
  </si>
  <si>
    <t>Vac. Pendientes (Total)</t>
  </si>
  <si>
    <t>Promedio Antigüedad (años)</t>
  </si>
  <si>
    <t>ID Solicitud</t>
  </si>
  <si>
    <t>ID Empleado</t>
  </si>
  <si>
    <t>Nombre Empleado</t>
  </si>
  <si>
    <t>Fecha Inicio</t>
  </si>
  <si>
    <t>Fecha Fin</t>
  </si>
  <si>
    <t>Días Solicitados</t>
  </si>
  <si>
    <t>Fecha Solicitud</t>
  </si>
  <si>
    <t>Aprobado Por</t>
  </si>
  <si>
    <t>Comentarios</t>
  </si>
  <si>
    <t>SOL-001</t>
  </si>
  <si>
    <t>Aprobada</t>
  </si>
  <si>
    <t>SOL-002</t>
  </si>
  <si>
    <t>Pendiente</t>
  </si>
  <si>
    <t>SOL-003</t>
  </si>
  <si>
    <t>SOL-004</t>
  </si>
  <si>
    <t>Semana Santa</t>
  </si>
  <si>
    <t>SOL-005</t>
  </si>
  <si>
    <t>Rechazada</t>
  </si>
  <si>
    <t>Proyecto crítico en curso</t>
  </si>
  <si>
    <t>ID Conversación</t>
  </si>
  <si>
    <t>Fecha</t>
  </si>
  <si>
    <t>Hora</t>
  </si>
  <si>
    <t>Canal</t>
  </si>
  <si>
    <t>Tipo de Consulta</t>
  </si>
  <si>
    <t>Subtema</t>
  </si>
  <si>
    <t>Resumen Consulta</t>
  </si>
  <si>
    <t>Tiempo Respuesta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</si>
</sst>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rgb="FF0D1B2A"/>
      <name val="Arial"/>
    </font>
    <font>
      <sz val="9.0"/>
      <color theme="1"/>
      <name val="Arial"/>
    </font>
    <font>
      <b/>
      <sz val="9.0"/>
      <color rgb="FF22C55E"/>
      <name val="Arial"/>
    </font>
    <font>
      <b/>
      <sz val="11.0"/>
      <color rgb="FFFFFFFF"/>
      <name val="Arial"/>
    </font>
    <font>
      <b/>
      <sz val="14.0"/>
      <color rgb="FF0D1B2A"/>
      <name val="Arial"/>
    </font>
    <font>
      <i/>
      <sz val="9.0"/>
      <color rgb="FF888888"/>
      <name val="Arial"/>
    </font>
    <font>
      <b/>
      <sz val="9.0"/>
      <color rgb="FFF59E0B"/>
      <name val="Arial"/>
    </font>
    <font>
      <b/>
      <sz val="9.0"/>
      <color rgb="FFEF4444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E8F4FD"/>
        <bgColor rgb="FFE8F4FD"/>
      </patternFill>
    </fill>
    <fill>
      <patternFill patternType="solid">
        <fgColor rgb="FFEDF7ED"/>
        <bgColor rgb="FFEDF7ED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  <fill>
      <patternFill patternType="solid">
        <fgColor rgb="FFFFF8E1"/>
        <bgColor rgb="FFFFF8E1"/>
      </patternFill>
    </fill>
    <fill>
      <patternFill patternType="solid">
        <fgColor rgb="FFF1F8E9"/>
        <bgColor rgb="FFF1F8E9"/>
      </patternFill>
    </fill>
    <fill>
      <patternFill patternType="solid">
        <fgColor rgb="FFFCE4EC"/>
        <bgColor rgb="FFFCE4EC"/>
      </patternFill>
    </fill>
    <fill>
      <patternFill patternType="solid">
        <fgColor rgb="FFFDE8EF"/>
        <bgColor rgb="FFFDE8EF"/>
      </patternFill>
    </fill>
    <fill>
      <patternFill patternType="solid">
        <fgColor rgb="FFE8EAF6"/>
        <bgColor rgb="FFE8EAF6"/>
      </patternFill>
    </fill>
    <fill>
      <patternFill patternType="solid">
        <fgColor rgb="FFFFF9C4"/>
        <bgColor rgb="FFFFF9C4"/>
      </patternFill>
    </fill>
  </fills>
  <borders count="6">
    <border/>
    <border>
      <left/>
      <right style="thin">
        <color rgb="FFCBD5E1"/>
      </right>
      <top/>
      <bottom style="medium">
        <color rgb="FF00B4D8"/>
      </bottom>
    </border>
    <border>
      <left/>
      <right style="thin">
        <color rgb="FFCBD5E1"/>
      </right>
      <top/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/>
      <right/>
      <top/>
      <bottom/>
    </border>
    <border>
      <left/>
      <right/>
      <top/>
      <bottom style="medium">
        <color rgb="FF00B4D8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ont="1">
      <alignment shrinkToFit="0" vertical="center" wrapText="0"/>
    </xf>
    <xf borderId="2" fillId="3" fontId="3" numFmtId="164" xfId="0" applyAlignment="1" applyBorder="1" applyFont="1" applyNumberFormat="1">
      <alignment horizontal="center" shrinkToFit="0" vertical="center" wrapText="0"/>
    </xf>
    <xf borderId="2" fillId="3" fontId="3" numFmtId="165" xfId="0" applyAlignment="1" applyBorder="1" applyFont="1" applyNumberFormat="1">
      <alignment horizontal="center" shrinkToFit="0" vertical="center" wrapText="0"/>
    </xf>
    <xf borderId="2" fillId="3" fontId="4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0"/>
    </xf>
    <xf borderId="3" fillId="0" fontId="3" numFmtId="165" xfId="0" applyAlignment="1" applyBorder="1" applyFont="1" applyNumberForma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2" fillId="4" fontId="3" numFmtId="0" xfId="0" applyAlignment="1" applyBorder="1" applyFont="1">
      <alignment shrinkToFit="0" vertical="center" wrapText="0"/>
    </xf>
    <xf borderId="2" fillId="4" fontId="3" numFmtId="164" xfId="0" applyAlignment="1" applyBorder="1" applyFont="1" applyNumberFormat="1">
      <alignment horizontal="center" shrinkToFit="0" vertical="center" wrapText="0"/>
    </xf>
    <xf borderId="2" fillId="4" fontId="3" numFmtId="165" xfId="0" applyAlignment="1" applyBorder="1" applyFont="1" applyNumberFormat="1">
      <alignment horizontal="center" shrinkToFit="0" vertical="center" wrapText="0"/>
    </xf>
    <xf borderId="2" fillId="4" fontId="4" numFmtId="0" xfId="0" applyAlignment="1" applyBorder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center" wrapText="0"/>
    </xf>
    <xf borderId="2" fillId="5" fontId="3" numFmtId="0" xfId="0" applyAlignment="1" applyBorder="1" applyFont="1">
      <alignment shrinkToFit="0" vertical="center" wrapText="0"/>
    </xf>
    <xf borderId="2" fillId="5" fontId="3" numFmtId="164" xfId="0" applyAlignment="1" applyBorder="1" applyFont="1" applyNumberFormat="1">
      <alignment horizontal="center" shrinkToFit="0" vertical="center" wrapText="0"/>
    </xf>
    <xf borderId="2" fillId="5" fontId="3" numFmtId="165" xfId="0" applyAlignment="1" applyBorder="1" applyFont="1" applyNumberFormat="1">
      <alignment horizontal="center" shrinkToFit="0" vertical="center" wrapText="0"/>
    </xf>
    <xf borderId="2" fillId="5" fontId="4" numFmtId="0" xfId="0" applyAlignment="1" applyBorder="1" applyFont="1">
      <alignment horizontal="center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2" fillId="6" fontId="3" numFmtId="0" xfId="0" applyAlignment="1" applyBorder="1" applyFont="1">
      <alignment shrinkToFit="0" vertical="center" wrapText="0"/>
    </xf>
    <xf borderId="2" fillId="6" fontId="3" numFmtId="164" xfId="0" applyAlignment="1" applyBorder="1" applyFont="1" applyNumberFormat="1">
      <alignment horizontal="center" shrinkToFit="0" vertical="center" wrapText="0"/>
    </xf>
    <xf borderId="2" fillId="6" fontId="3" numFmtId="165" xfId="0" applyAlignment="1" applyBorder="1" applyFont="1" applyNumberFormat="1">
      <alignment horizontal="center" shrinkToFit="0" vertical="center" wrapText="0"/>
    </xf>
    <xf borderId="2" fillId="6" fontId="4" numFmtId="0" xfId="0" applyAlignment="1" applyBorder="1" applyFont="1">
      <alignment horizontal="center" shrinkToFit="0" vertical="center" wrapText="0"/>
    </xf>
    <xf borderId="2" fillId="7" fontId="2" numFmtId="0" xfId="0" applyAlignment="1" applyBorder="1" applyFill="1" applyFont="1">
      <alignment horizontal="center" shrinkToFit="0" vertical="center" wrapText="0"/>
    </xf>
    <xf borderId="2" fillId="7" fontId="3" numFmtId="0" xfId="0" applyAlignment="1" applyBorder="1" applyFont="1">
      <alignment shrinkToFit="0" vertical="center" wrapText="0"/>
    </xf>
    <xf borderId="2" fillId="7" fontId="3" numFmtId="164" xfId="0" applyAlignment="1" applyBorder="1" applyFont="1" applyNumberFormat="1">
      <alignment horizontal="center" shrinkToFit="0" vertical="center" wrapText="0"/>
    </xf>
    <xf borderId="2" fillId="7" fontId="3" numFmtId="165" xfId="0" applyAlignment="1" applyBorder="1" applyFont="1" applyNumberFormat="1">
      <alignment horizontal="center" shrinkToFit="0" vertical="center" wrapText="0"/>
    </xf>
    <xf borderId="2" fillId="7" fontId="4" numFmtId="0" xfId="0" applyAlignment="1" applyBorder="1" applyFont="1">
      <alignment horizontal="center" shrinkToFit="0" vertical="center" wrapText="0"/>
    </xf>
    <xf borderId="2" fillId="8" fontId="2" numFmtId="0" xfId="0" applyAlignment="1" applyBorder="1" applyFill="1" applyFont="1">
      <alignment horizontal="center" shrinkToFit="0" vertical="center" wrapText="0"/>
    </xf>
    <xf borderId="2" fillId="8" fontId="3" numFmtId="0" xfId="0" applyAlignment="1" applyBorder="1" applyFont="1">
      <alignment shrinkToFit="0" vertical="center" wrapText="0"/>
    </xf>
    <xf borderId="2" fillId="8" fontId="3" numFmtId="164" xfId="0" applyAlignment="1" applyBorder="1" applyFont="1" applyNumberFormat="1">
      <alignment horizontal="center" shrinkToFit="0" vertical="center" wrapText="0"/>
    </xf>
    <xf borderId="2" fillId="8" fontId="3" numFmtId="165" xfId="0" applyAlignment="1" applyBorder="1" applyFont="1" applyNumberFormat="1">
      <alignment horizontal="center" shrinkToFit="0" vertical="center" wrapText="0"/>
    </xf>
    <xf borderId="2" fillId="8" fontId="4" numFmtId="0" xfId="0" applyAlignment="1" applyBorder="1" applyFont="1">
      <alignment horizontal="center" shrinkToFit="0" vertical="center" wrapText="0"/>
    </xf>
    <xf borderId="2" fillId="9" fontId="2" numFmtId="0" xfId="0" applyAlignment="1" applyBorder="1" applyFill="1" applyFont="1">
      <alignment horizontal="center" shrinkToFit="0" vertical="center" wrapText="0"/>
    </xf>
    <xf borderId="2" fillId="9" fontId="3" numFmtId="0" xfId="0" applyAlignment="1" applyBorder="1" applyFont="1">
      <alignment shrinkToFit="0" vertical="center" wrapText="0"/>
    </xf>
    <xf borderId="2" fillId="9" fontId="3" numFmtId="164" xfId="0" applyAlignment="1" applyBorder="1" applyFont="1" applyNumberFormat="1">
      <alignment horizontal="center" shrinkToFit="0" vertical="center" wrapText="0"/>
    </xf>
    <xf borderId="2" fillId="9" fontId="3" numFmtId="165" xfId="0" applyAlignment="1" applyBorder="1" applyFont="1" applyNumberFormat="1">
      <alignment horizontal="center" shrinkToFit="0" vertical="center" wrapText="0"/>
    </xf>
    <xf borderId="2" fillId="9" fontId="4" numFmtId="0" xfId="0" applyAlignment="1" applyBorder="1" applyFont="1">
      <alignment horizontal="center" shrinkToFit="0" vertical="center" wrapText="0"/>
    </xf>
    <xf borderId="2" fillId="10" fontId="2" numFmtId="0" xfId="0" applyAlignment="1" applyBorder="1" applyFill="1" applyFont="1">
      <alignment horizontal="center" shrinkToFit="0" vertical="center" wrapText="0"/>
    </xf>
    <xf borderId="2" fillId="10" fontId="3" numFmtId="0" xfId="0" applyAlignment="1" applyBorder="1" applyFont="1">
      <alignment shrinkToFit="0" vertical="center" wrapText="0"/>
    </xf>
    <xf borderId="2" fillId="10" fontId="3" numFmtId="164" xfId="0" applyAlignment="1" applyBorder="1" applyFont="1" applyNumberFormat="1">
      <alignment horizontal="center" shrinkToFit="0" vertical="center" wrapText="0"/>
    </xf>
    <xf borderId="2" fillId="10" fontId="3" numFmtId="165" xfId="0" applyAlignment="1" applyBorder="1" applyFont="1" applyNumberFormat="1">
      <alignment horizontal="center" shrinkToFit="0" vertical="center" wrapText="0"/>
    </xf>
    <xf borderId="2" fillId="10" fontId="4" numFmtId="0" xfId="0" applyAlignment="1" applyBorder="1" applyFont="1">
      <alignment horizontal="center" shrinkToFit="0" vertical="center" wrapText="0"/>
    </xf>
    <xf borderId="2" fillId="11" fontId="2" numFmtId="0" xfId="0" applyAlignment="1" applyBorder="1" applyFill="1" applyFont="1">
      <alignment horizontal="center" shrinkToFit="0" vertical="center" wrapText="0"/>
    </xf>
    <xf borderId="2" fillId="11" fontId="3" numFmtId="0" xfId="0" applyAlignment="1" applyBorder="1" applyFont="1">
      <alignment shrinkToFit="0" vertical="center" wrapText="0"/>
    </xf>
    <xf borderId="2" fillId="11" fontId="3" numFmtId="164" xfId="0" applyAlignment="1" applyBorder="1" applyFont="1" applyNumberFormat="1">
      <alignment horizontal="center" shrinkToFit="0" vertical="center" wrapText="0"/>
    </xf>
    <xf borderId="2" fillId="11" fontId="3" numFmtId="165" xfId="0" applyAlignment="1" applyBorder="1" applyFont="1" applyNumberFormat="1">
      <alignment horizontal="center" shrinkToFit="0" vertical="center" wrapText="0"/>
    </xf>
    <xf borderId="2" fillId="11" fontId="4" numFmtId="0" xfId="0" applyAlignment="1" applyBorder="1" applyFont="1">
      <alignment horizontal="center" shrinkToFit="0" vertical="center" wrapText="0"/>
    </xf>
    <xf borderId="2" fillId="12" fontId="2" numFmtId="0" xfId="0" applyAlignment="1" applyBorder="1" applyFill="1" applyFont="1">
      <alignment horizontal="center" shrinkToFit="0" vertical="center" wrapText="0"/>
    </xf>
    <xf borderId="2" fillId="12" fontId="3" numFmtId="0" xfId="0" applyAlignment="1" applyBorder="1" applyFont="1">
      <alignment shrinkToFit="0" vertical="center" wrapText="0"/>
    </xf>
    <xf borderId="2" fillId="12" fontId="3" numFmtId="164" xfId="0" applyAlignment="1" applyBorder="1" applyFont="1" applyNumberFormat="1">
      <alignment horizontal="center" shrinkToFit="0" vertical="center" wrapText="0"/>
    </xf>
    <xf borderId="2" fillId="12" fontId="3" numFmtId="165" xfId="0" applyAlignment="1" applyBorder="1" applyFont="1" applyNumberFormat="1">
      <alignment horizontal="center" shrinkToFit="0" vertical="center" wrapText="0"/>
    </xf>
    <xf borderId="2" fillId="12" fontId="4" numFmtId="0" xfId="0" applyAlignment="1" applyBorder="1" applyFont="1">
      <alignment horizontal="center" shrinkToFit="0" vertical="center" wrapText="0"/>
    </xf>
    <xf borderId="2" fillId="13" fontId="2" numFmtId="0" xfId="0" applyAlignment="1" applyBorder="1" applyFill="1" applyFont="1">
      <alignment horizontal="center" shrinkToFit="0" vertical="center" wrapText="0"/>
    </xf>
    <xf borderId="2" fillId="13" fontId="3" numFmtId="0" xfId="0" applyAlignment="1" applyBorder="1" applyFont="1">
      <alignment shrinkToFit="0" vertical="center" wrapText="0"/>
    </xf>
    <xf borderId="2" fillId="13" fontId="3" numFmtId="164" xfId="0" applyAlignment="1" applyBorder="1" applyFont="1" applyNumberFormat="1">
      <alignment horizontal="center" shrinkToFit="0" vertical="center" wrapText="0"/>
    </xf>
    <xf borderId="2" fillId="13" fontId="3" numFmtId="165" xfId="0" applyAlignment="1" applyBorder="1" applyFont="1" applyNumberFormat="1">
      <alignment horizontal="center" shrinkToFit="0" vertical="center" wrapText="0"/>
    </xf>
    <xf borderId="2" fillId="13" fontId="4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shrinkToFit="0" vertical="bottom" wrapText="0"/>
    </xf>
    <xf borderId="4" fillId="2" fontId="5" numFmtId="1" xfId="0" applyAlignment="1" applyBorder="1" applyFont="1" applyNumberFormat="1">
      <alignment shrinkToFit="0" vertical="bottom" wrapText="0"/>
    </xf>
    <xf borderId="4" fillId="2" fontId="5" numFmtId="165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5" fillId="2" fontId="1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horizontal="left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2" fillId="5" fontId="3" numFmtId="0" xfId="0" applyAlignment="1" applyBorder="1" applyFont="1">
      <alignment horizontal="left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horizontal="left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2" fillId="7" fontId="3" numFmtId="0" xfId="0" applyAlignment="1" applyBorder="1" applyFont="1">
      <alignment horizontal="left" shrinkToFit="0" vertical="center" wrapText="0"/>
    </xf>
    <xf borderId="2" fillId="7" fontId="3" numFmtId="0" xfId="0" applyAlignment="1" applyBorder="1" applyFont="1">
      <alignment horizontal="center" shrinkToFit="0" vertical="center" wrapText="0"/>
    </xf>
    <xf borderId="2" fillId="8" fontId="3" numFmtId="0" xfId="0" applyAlignment="1" applyBorder="1" applyFont="1">
      <alignment horizontal="left" shrinkToFit="0" vertical="center" wrapText="0"/>
    </xf>
    <xf borderId="2" fillId="8" fontId="3" numFmtId="0" xfId="0" applyAlignment="1" applyBorder="1" applyFont="1">
      <alignment horizontal="center" shrinkToFit="0" vertical="center" wrapText="0"/>
    </xf>
    <xf borderId="2" fillId="9" fontId="3" numFmtId="0" xfId="0" applyAlignment="1" applyBorder="1" applyFont="1">
      <alignment horizontal="left" shrinkToFit="0" vertical="center" wrapText="0"/>
    </xf>
    <xf borderId="2" fillId="9" fontId="3" numFmtId="0" xfId="0" applyAlignment="1" applyBorder="1" applyFont="1">
      <alignment horizontal="center" shrinkToFit="0" vertical="center" wrapText="0"/>
    </xf>
    <xf borderId="2" fillId="10" fontId="3" numFmtId="0" xfId="0" applyAlignment="1" applyBorder="1" applyFont="1">
      <alignment horizontal="left" shrinkToFit="0" vertical="center" wrapText="0"/>
    </xf>
    <xf borderId="2" fillId="10" fontId="3" numFmtId="0" xfId="0" applyAlignment="1" applyBorder="1" applyFont="1">
      <alignment horizontal="center" shrinkToFit="0" vertical="center" wrapText="0"/>
    </xf>
    <xf borderId="2" fillId="11" fontId="3" numFmtId="0" xfId="0" applyAlignment="1" applyBorder="1" applyFont="1">
      <alignment horizontal="left" shrinkToFit="0" vertical="center" wrapText="0"/>
    </xf>
    <xf borderId="2" fillId="11" fontId="3" numFmtId="0" xfId="0" applyAlignment="1" applyBorder="1" applyFont="1">
      <alignment horizontal="center" shrinkToFit="0" vertical="center" wrapText="0"/>
    </xf>
    <xf borderId="2" fillId="12" fontId="3" numFmtId="0" xfId="0" applyAlignment="1" applyBorder="1" applyFont="1">
      <alignment horizontal="left" shrinkToFit="0" vertical="center" wrapText="0"/>
    </xf>
    <xf borderId="2" fillId="12" fontId="3" numFmtId="0" xfId="0" applyAlignment="1" applyBorder="1" applyFont="1">
      <alignment horizontal="center" shrinkToFit="0" vertical="center" wrapText="0"/>
    </xf>
    <xf borderId="2" fillId="13" fontId="3" numFmtId="0" xfId="0" applyAlignment="1" applyBorder="1" applyFont="1">
      <alignment horizontal="left" shrinkToFit="0" vertical="center" wrapText="0"/>
    </xf>
    <xf borderId="2" fillId="13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left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3" fillId="0" fontId="9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32.0"/>
    <col customWidth="1" min="4" max="4" width="24.0"/>
    <col customWidth="1" min="5" max="5" width="26.0"/>
    <col customWidth="1" min="6" max="6" width="32.0"/>
    <col customWidth="1" min="7" max="7" width="14.0"/>
    <col customWidth="1" min="8" max="8" width="12.0"/>
    <col customWidth="1" min="9" max="9" width="14.0"/>
    <col customWidth="1" min="10" max="10" width="18.0"/>
    <col customWidth="1" min="11" max="11" width="16.0"/>
    <col customWidth="1" min="12" max="12" width="18.0"/>
    <col customWidth="1" min="13" max="13" width="10.0"/>
    <col customWidth="1" min="14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45550.0</v>
      </c>
      <c r="H2" s="3" t="s">
        <v>19</v>
      </c>
      <c r="I2" s="5">
        <v>1.5</v>
      </c>
      <c r="J2" s="5">
        <v>22.4</v>
      </c>
      <c r="K2" s="5">
        <v>0.4</v>
      </c>
      <c r="L2" s="5">
        <v>22.0</v>
      </c>
      <c r="M2" s="6" t="s">
        <v>20</v>
      </c>
    </row>
    <row r="3">
      <c r="A3" s="7" t="s">
        <v>21</v>
      </c>
      <c r="B3" s="8" t="s">
        <v>22</v>
      </c>
      <c r="C3" s="8" t="s">
        <v>23</v>
      </c>
      <c r="D3" s="8" t="s">
        <v>16</v>
      </c>
      <c r="E3" s="8" t="s">
        <v>17</v>
      </c>
      <c r="F3" s="8" t="s">
        <v>18</v>
      </c>
      <c r="G3" s="9">
        <v>44880.0</v>
      </c>
      <c r="H3" s="8" t="s">
        <v>24</v>
      </c>
      <c r="I3" s="10">
        <v>3.3</v>
      </c>
      <c r="J3" s="10">
        <v>49.9</v>
      </c>
      <c r="K3" s="10">
        <v>8.6</v>
      </c>
      <c r="L3" s="10">
        <v>41.3</v>
      </c>
      <c r="M3" s="11" t="s">
        <v>20</v>
      </c>
    </row>
    <row r="4">
      <c r="A4" s="2" t="s">
        <v>25</v>
      </c>
      <c r="B4" s="3" t="s">
        <v>26</v>
      </c>
      <c r="C4" s="3" t="s">
        <v>27</v>
      </c>
      <c r="D4" s="3" t="s">
        <v>16</v>
      </c>
      <c r="E4" s="3" t="s">
        <v>28</v>
      </c>
      <c r="F4" s="3" t="s">
        <v>18</v>
      </c>
      <c r="G4" s="4">
        <v>45435.0</v>
      </c>
      <c r="H4" s="3" t="s">
        <v>19</v>
      </c>
      <c r="I4" s="5">
        <v>1.8</v>
      </c>
      <c r="J4" s="5">
        <v>27.1</v>
      </c>
      <c r="K4" s="5">
        <v>14.0</v>
      </c>
      <c r="L4" s="5">
        <v>13.1</v>
      </c>
      <c r="M4" s="6" t="s">
        <v>20</v>
      </c>
    </row>
    <row r="5">
      <c r="A5" s="7" t="s">
        <v>29</v>
      </c>
      <c r="B5" s="8" t="s">
        <v>30</v>
      </c>
      <c r="C5" s="8" t="s">
        <v>31</v>
      </c>
      <c r="D5" s="8" t="s">
        <v>16</v>
      </c>
      <c r="E5" s="8" t="s">
        <v>28</v>
      </c>
      <c r="F5" s="8" t="s">
        <v>18</v>
      </c>
      <c r="G5" s="9">
        <v>43773.0</v>
      </c>
      <c r="H5" s="8" t="s">
        <v>32</v>
      </c>
      <c r="I5" s="10">
        <v>6.4</v>
      </c>
      <c r="J5" s="10">
        <v>95.4</v>
      </c>
      <c r="K5" s="10">
        <v>5.8</v>
      </c>
      <c r="L5" s="10">
        <v>89.6</v>
      </c>
      <c r="M5" s="11" t="s">
        <v>20</v>
      </c>
    </row>
    <row r="6">
      <c r="A6" s="2" t="s">
        <v>33</v>
      </c>
      <c r="B6" s="3" t="s">
        <v>34</v>
      </c>
      <c r="C6" s="3" t="s">
        <v>35</v>
      </c>
      <c r="D6" s="3" t="s">
        <v>16</v>
      </c>
      <c r="E6" s="3" t="s">
        <v>36</v>
      </c>
      <c r="F6" s="3" t="s">
        <v>37</v>
      </c>
      <c r="G6" s="4">
        <v>44278.0</v>
      </c>
      <c r="H6" s="3" t="s">
        <v>24</v>
      </c>
      <c r="I6" s="5">
        <v>5.0</v>
      </c>
      <c r="J6" s="5">
        <v>74.7</v>
      </c>
      <c r="K6" s="5">
        <v>1.7</v>
      </c>
      <c r="L6" s="5">
        <v>73.0</v>
      </c>
      <c r="M6" s="6" t="s">
        <v>20</v>
      </c>
    </row>
    <row r="7">
      <c r="A7" s="7" t="s">
        <v>38</v>
      </c>
      <c r="B7" s="8" t="s">
        <v>39</v>
      </c>
      <c r="C7" s="8" t="s">
        <v>40</v>
      </c>
      <c r="D7" s="8" t="s">
        <v>16</v>
      </c>
      <c r="E7" s="8" t="s">
        <v>41</v>
      </c>
      <c r="F7" s="8" t="s">
        <v>18</v>
      </c>
      <c r="G7" s="9">
        <v>45623.0</v>
      </c>
      <c r="H7" s="8" t="s">
        <v>19</v>
      </c>
      <c r="I7" s="10">
        <v>1.3</v>
      </c>
      <c r="J7" s="10">
        <v>19.4</v>
      </c>
      <c r="K7" s="10">
        <v>3.0</v>
      </c>
      <c r="L7" s="10">
        <v>16.4</v>
      </c>
      <c r="M7" s="11" t="s">
        <v>20</v>
      </c>
    </row>
    <row r="8">
      <c r="A8" s="2" t="s">
        <v>42</v>
      </c>
      <c r="B8" s="3" t="s">
        <v>43</v>
      </c>
      <c r="C8" s="3" t="s">
        <v>44</v>
      </c>
      <c r="D8" s="3" t="s">
        <v>16</v>
      </c>
      <c r="E8" s="3" t="s">
        <v>41</v>
      </c>
      <c r="F8" s="3" t="s">
        <v>18</v>
      </c>
      <c r="G8" s="4">
        <v>43937.0</v>
      </c>
      <c r="H8" s="3" t="s">
        <v>32</v>
      </c>
      <c r="I8" s="5">
        <v>5.9</v>
      </c>
      <c r="J8" s="5">
        <v>88.7</v>
      </c>
      <c r="K8" s="5">
        <v>37.4</v>
      </c>
      <c r="L8" s="5">
        <v>51.3</v>
      </c>
      <c r="M8" s="6" t="s">
        <v>20</v>
      </c>
    </row>
    <row r="9">
      <c r="A9" s="7" t="s">
        <v>45</v>
      </c>
      <c r="B9" s="8" t="s">
        <v>46</v>
      </c>
      <c r="C9" s="8" t="s">
        <v>47</v>
      </c>
      <c r="D9" s="8" t="s">
        <v>16</v>
      </c>
      <c r="E9" s="8" t="s">
        <v>28</v>
      </c>
      <c r="F9" s="8" t="s">
        <v>18</v>
      </c>
      <c r="G9" s="9">
        <v>43708.0</v>
      </c>
      <c r="H9" s="8" t="s">
        <v>32</v>
      </c>
      <c r="I9" s="10">
        <v>6.5</v>
      </c>
      <c r="J9" s="10">
        <v>98.1</v>
      </c>
      <c r="K9" s="10">
        <v>13.7</v>
      </c>
      <c r="L9" s="10">
        <v>84.4</v>
      </c>
      <c r="M9" s="11" t="s">
        <v>20</v>
      </c>
    </row>
    <row r="10">
      <c r="A10" s="2" t="s">
        <v>48</v>
      </c>
      <c r="B10" s="3" t="s">
        <v>49</v>
      </c>
      <c r="C10" s="3" t="s">
        <v>50</v>
      </c>
      <c r="D10" s="3" t="s">
        <v>16</v>
      </c>
      <c r="E10" s="3" t="s">
        <v>17</v>
      </c>
      <c r="F10" s="3" t="s">
        <v>18</v>
      </c>
      <c r="G10" s="4">
        <v>43774.0</v>
      </c>
      <c r="H10" s="3" t="s">
        <v>32</v>
      </c>
      <c r="I10" s="5">
        <v>6.4</v>
      </c>
      <c r="J10" s="5">
        <v>95.4</v>
      </c>
      <c r="K10" s="5">
        <v>28.0</v>
      </c>
      <c r="L10" s="5">
        <v>67.4</v>
      </c>
      <c r="M10" s="6" t="s">
        <v>20</v>
      </c>
    </row>
    <row r="11">
      <c r="A11" s="7" t="s">
        <v>51</v>
      </c>
      <c r="B11" s="8" t="s">
        <v>52</v>
      </c>
      <c r="C11" s="8" t="s">
        <v>53</v>
      </c>
      <c r="D11" s="8" t="s">
        <v>16</v>
      </c>
      <c r="E11" s="8" t="s">
        <v>41</v>
      </c>
      <c r="F11" s="8" t="s">
        <v>18</v>
      </c>
      <c r="G11" s="9">
        <v>44167.0</v>
      </c>
      <c r="H11" s="8" t="s">
        <v>32</v>
      </c>
      <c r="I11" s="10">
        <v>5.3</v>
      </c>
      <c r="J11" s="10">
        <v>79.2</v>
      </c>
      <c r="K11" s="10">
        <v>32.7</v>
      </c>
      <c r="L11" s="10">
        <v>46.5</v>
      </c>
      <c r="M11" s="11" t="s">
        <v>20</v>
      </c>
    </row>
    <row r="12">
      <c r="A12" s="12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4">
        <v>45980.0</v>
      </c>
      <c r="H12" s="13" t="s">
        <v>60</v>
      </c>
      <c r="I12" s="15">
        <v>0.3</v>
      </c>
      <c r="J12" s="15">
        <v>4.8</v>
      </c>
      <c r="K12" s="15">
        <v>2.5</v>
      </c>
      <c r="L12" s="15">
        <v>2.3</v>
      </c>
      <c r="M12" s="16" t="s">
        <v>20</v>
      </c>
    </row>
    <row r="13">
      <c r="A13" s="7" t="s">
        <v>61</v>
      </c>
      <c r="B13" s="8" t="s">
        <v>62</v>
      </c>
      <c r="C13" s="8" t="s">
        <v>63</v>
      </c>
      <c r="D13" s="8" t="s">
        <v>57</v>
      </c>
      <c r="E13" s="8" t="s">
        <v>64</v>
      </c>
      <c r="F13" s="8" t="s">
        <v>59</v>
      </c>
      <c r="G13" s="9">
        <v>45353.0</v>
      </c>
      <c r="H13" s="8" t="s">
        <v>65</v>
      </c>
      <c r="I13" s="10">
        <v>2.0</v>
      </c>
      <c r="J13" s="10">
        <v>30.5</v>
      </c>
      <c r="K13" s="10">
        <v>14.9</v>
      </c>
      <c r="L13" s="10">
        <v>15.6</v>
      </c>
      <c r="M13" s="11" t="s">
        <v>20</v>
      </c>
    </row>
    <row r="14">
      <c r="A14" s="12" t="s">
        <v>66</v>
      </c>
      <c r="B14" s="13" t="s">
        <v>67</v>
      </c>
      <c r="C14" s="13" t="s">
        <v>68</v>
      </c>
      <c r="D14" s="13" t="s">
        <v>57</v>
      </c>
      <c r="E14" s="13" t="s">
        <v>69</v>
      </c>
      <c r="F14" s="13" t="s">
        <v>59</v>
      </c>
      <c r="G14" s="14">
        <v>44613.0</v>
      </c>
      <c r="H14" s="13" t="s">
        <v>24</v>
      </c>
      <c r="I14" s="15">
        <v>4.1</v>
      </c>
      <c r="J14" s="15">
        <v>60.9</v>
      </c>
      <c r="K14" s="15">
        <v>11.8</v>
      </c>
      <c r="L14" s="15">
        <v>49.1</v>
      </c>
      <c r="M14" s="16" t="s">
        <v>20</v>
      </c>
    </row>
    <row r="15">
      <c r="A15" s="7" t="s">
        <v>70</v>
      </c>
      <c r="B15" s="8" t="s">
        <v>71</v>
      </c>
      <c r="C15" s="8" t="s">
        <v>72</v>
      </c>
      <c r="D15" s="8" t="s">
        <v>57</v>
      </c>
      <c r="E15" s="8" t="s">
        <v>73</v>
      </c>
      <c r="F15" s="8" t="s">
        <v>37</v>
      </c>
      <c r="G15" s="9">
        <v>45125.0</v>
      </c>
      <c r="H15" s="8" t="s">
        <v>65</v>
      </c>
      <c r="I15" s="10">
        <v>2.7</v>
      </c>
      <c r="J15" s="10">
        <v>39.9</v>
      </c>
      <c r="K15" s="10">
        <v>26.7</v>
      </c>
      <c r="L15" s="10">
        <v>13.2</v>
      </c>
      <c r="M15" s="11" t="s">
        <v>20</v>
      </c>
    </row>
    <row r="16">
      <c r="A16" s="12" t="s">
        <v>74</v>
      </c>
      <c r="B16" s="13" t="s">
        <v>75</v>
      </c>
      <c r="C16" s="13" t="s">
        <v>76</v>
      </c>
      <c r="D16" s="13" t="s">
        <v>57</v>
      </c>
      <c r="E16" s="13" t="s">
        <v>58</v>
      </c>
      <c r="F16" s="13" t="s">
        <v>59</v>
      </c>
      <c r="G16" s="14">
        <v>44628.0</v>
      </c>
      <c r="H16" s="13" t="s">
        <v>24</v>
      </c>
      <c r="I16" s="15">
        <v>4.0</v>
      </c>
      <c r="J16" s="15">
        <v>60.3</v>
      </c>
      <c r="K16" s="15">
        <v>4.3</v>
      </c>
      <c r="L16" s="15">
        <v>56.0</v>
      </c>
      <c r="M16" s="16" t="s">
        <v>20</v>
      </c>
    </row>
    <row r="17">
      <c r="A17" s="7" t="s">
        <v>77</v>
      </c>
      <c r="B17" s="8" t="s">
        <v>78</v>
      </c>
      <c r="C17" s="8" t="s">
        <v>79</v>
      </c>
      <c r="D17" s="8" t="s">
        <v>57</v>
      </c>
      <c r="E17" s="8" t="s">
        <v>64</v>
      </c>
      <c r="F17" s="8" t="s">
        <v>59</v>
      </c>
      <c r="G17" s="9">
        <v>44450.0</v>
      </c>
      <c r="H17" s="8" t="s">
        <v>24</v>
      </c>
      <c r="I17" s="10">
        <v>4.5</v>
      </c>
      <c r="J17" s="10">
        <v>67.6</v>
      </c>
      <c r="K17" s="10">
        <v>4.6</v>
      </c>
      <c r="L17" s="10">
        <v>63.0</v>
      </c>
      <c r="M17" s="11" t="s">
        <v>20</v>
      </c>
    </row>
    <row r="18">
      <c r="A18" s="12" t="s">
        <v>80</v>
      </c>
      <c r="B18" s="13" t="s">
        <v>81</v>
      </c>
      <c r="C18" s="13" t="s">
        <v>82</v>
      </c>
      <c r="D18" s="13" t="s">
        <v>57</v>
      </c>
      <c r="E18" s="13" t="s">
        <v>69</v>
      </c>
      <c r="F18" s="13" t="s">
        <v>59</v>
      </c>
      <c r="G18" s="14">
        <v>44598.0</v>
      </c>
      <c r="H18" s="13" t="s">
        <v>24</v>
      </c>
      <c r="I18" s="15">
        <v>4.1</v>
      </c>
      <c r="J18" s="15">
        <v>61.5</v>
      </c>
      <c r="K18" s="15">
        <v>26.0</v>
      </c>
      <c r="L18" s="15">
        <v>35.5</v>
      </c>
      <c r="M18" s="16" t="s">
        <v>20</v>
      </c>
    </row>
    <row r="19">
      <c r="A19" s="7" t="s">
        <v>83</v>
      </c>
      <c r="B19" s="8" t="s">
        <v>84</v>
      </c>
      <c r="C19" s="8" t="s">
        <v>85</v>
      </c>
      <c r="D19" s="8" t="s">
        <v>57</v>
      </c>
      <c r="E19" s="8" t="s">
        <v>64</v>
      </c>
      <c r="F19" s="8" t="s">
        <v>59</v>
      </c>
      <c r="G19" s="9">
        <v>45829.0</v>
      </c>
      <c r="H19" s="8" t="s">
        <v>60</v>
      </c>
      <c r="I19" s="10">
        <v>0.7</v>
      </c>
      <c r="J19" s="10">
        <v>11.0</v>
      </c>
      <c r="K19" s="10">
        <v>5.6</v>
      </c>
      <c r="L19" s="10">
        <v>5.4</v>
      </c>
      <c r="M19" s="11" t="s">
        <v>20</v>
      </c>
    </row>
    <row r="20">
      <c r="A20" s="17" t="s">
        <v>86</v>
      </c>
      <c r="B20" s="18" t="s">
        <v>87</v>
      </c>
      <c r="C20" s="18" t="s">
        <v>88</v>
      </c>
      <c r="D20" s="18" t="s">
        <v>89</v>
      </c>
      <c r="E20" s="18" t="s">
        <v>90</v>
      </c>
      <c r="F20" s="18" t="s">
        <v>91</v>
      </c>
      <c r="G20" s="19">
        <v>43810.0</v>
      </c>
      <c r="H20" s="18" t="s">
        <v>32</v>
      </c>
      <c r="I20" s="20">
        <v>6.3</v>
      </c>
      <c r="J20" s="20">
        <v>93.9</v>
      </c>
      <c r="K20" s="20">
        <v>8.2</v>
      </c>
      <c r="L20" s="20">
        <v>85.7</v>
      </c>
      <c r="M20" s="21" t="s">
        <v>20</v>
      </c>
    </row>
    <row r="21" ht="15.75" customHeight="1">
      <c r="A21" s="7" t="s">
        <v>92</v>
      </c>
      <c r="B21" s="8" t="s">
        <v>93</v>
      </c>
      <c r="C21" s="8" t="s">
        <v>94</v>
      </c>
      <c r="D21" s="8" t="s">
        <v>89</v>
      </c>
      <c r="E21" s="8" t="s">
        <v>95</v>
      </c>
      <c r="F21" s="8" t="s">
        <v>91</v>
      </c>
      <c r="G21" s="9">
        <v>44456.0</v>
      </c>
      <c r="H21" s="8" t="s">
        <v>24</v>
      </c>
      <c r="I21" s="10">
        <v>4.5</v>
      </c>
      <c r="J21" s="10">
        <v>67.4</v>
      </c>
      <c r="K21" s="10">
        <v>3.7</v>
      </c>
      <c r="L21" s="10">
        <v>63.7</v>
      </c>
      <c r="M21" s="11" t="s">
        <v>20</v>
      </c>
    </row>
    <row r="22" ht="15.75" customHeight="1">
      <c r="A22" s="17" t="s">
        <v>96</v>
      </c>
      <c r="B22" s="18" t="s">
        <v>97</v>
      </c>
      <c r="C22" s="18" t="s">
        <v>98</v>
      </c>
      <c r="D22" s="18" t="s">
        <v>89</v>
      </c>
      <c r="E22" s="18" t="s">
        <v>99</v>
      </c>
      <c r="F22" s="18" t="s">
        <v>91</v>
      </c>
      <c r="G22" s="19">
        <v>44806.0</v>
      </c>
      <c r="H22" s="18" t="s">
        <v>24</v>
      </c>
      <c r="I22" s="20">
        <v>3.5</v>
      </c>
      <c r="J22" s="20">
        <v>53.0</v>
      </c>
      <c r="K22" s="20">
        <v>30.8</v>
      </c>
      <c r="L22" s="20">
        <v>22.2</v>
      </c>
      <c r="M22" s="21" t="s">
        <v>20</v>
      </c>
    </row>
    <row r="23" ht="15.75" customHeight="1">
      <c r="A23" s="7" t="s">
        <v>100</v>
      </c>
      <c r="B23" s="8" t="s">
        <v>101</v>
      </c>
      <c r="C23" s="8" t="s">
        <v>102</v>
      </c>
      <c r="D23" s="8" t="s">
        <v>89</v>
      </c>
      <c r="E23" s="8" t="s">
        <v>103</v>
      </c>
      <c r="F23" s="8" t="s">
        <v>91</v>
      </c>
      <c r="G23" s="9">
        <v>44525.0</v>
      </c>
      <c r="H23" s="8" t="s">
        <v>24</v>
      </c>
      <c r="I23" s="10">
        <v>4.3</v>
      </c>
      <c r="J23" s="10">
        <v>64.5</v>
      </c>
      <c r="K23" s="10">
        <v>26.1</v>
      </c>
      <c r="L23" s="10">
        <v>38.4</v>
      </c>
      <c r="M23" s="11" t="s">
        <v>20</v>
      </c>
    </row>
    <row r="24" ht="15.75" customHeight="1">
      <c r="A24" s="17" t="s">
        <v>104</v>
      </c>
      <c r="B24" s="18" t="s">
        <v>105</v>
      </c>
      <c r="C24" s="18" t="s">
        <v>106</v>
      </c>
      <c r="D24" s="18" t="s">
        <v>89</v>
      </c>
      <c r="E24" s="18" t="s">
        <v>107</v>
      </c>
      <c r="F24" s="18" t="s">
        <v>91</v>
      </c>
      <c r="G24" s="19">
        <v>45722.0</v>
      </c>
      <c r="H24" s="18" t="s">
        <v>19</v>
      </c>
      <c r="I24" s="20">
        <v>1.0</v>
      </c>
      <c r="J24" s="20">
        <v>15.4</v>
      </c>
      <c r="K24" s="20">
        <v>0.5</v>
      </c>
      <c r="L24" s="20">
        <v>14.9</v>
      </c>
      <c r="M24" s="21" t="s">
        <v>20</v>
      </c>
    </row>
    <row r="25" ht="15.75" customHeight="1">
      <c r="A25" s="7" t="s">
        <v>108</v>
      </c>
      <c r="B25" s="8" t="s">
        <v>109</v>
      </c>
      <c r="C25" s="8" t="s">
        <v>110</v>
      </c>
      <c r="D25" s="8" t="s">
        <v>111</v>
      </c>
      <c r="E25" s="8" t="s">
        <v>112</v>
      </c>
      <c r="F25" s="8" t="s">
        <v>113</v>
      </c>
      <c r="G25" s="9">
        <v>45073.0</v>
      </c>
      <c r="H25" s="8" t="s">
        <v>65</v>
      </c>
      <c r="I25" s="10">
        <v>2.8</v>
      </c>
      <c r="J25" s="10">
        <v>42.0</v>
      </c>
      <c r="K25" s="10">
        <v>22.7</v>
      </c>
      <c r="L25" s="10">
        <v>19.3</v>
      </c>
      <c r="M25" s="11" t="s">
        <v>20</v>
      </c>
    </row>
    <row r="26" ht="15.75" customHeight="1">
      <c r="A26" s="22" t="s">
        <v>114</v>
      </c>
      <c r="B26" s="23" t="s">
        <v>115</v>
      </c>
      <c r="C26" s="23" t="s">
        <v>116</v>
      </c>
      <c r="D26" s="23" t="s">
        <v>111</v>
      </c>
      <c r="E26" s="23" t="s">
        <v>117</v>
      </c>
      <c r="F26" s="23" t="s">
        <v>113</v>
      </c>
      <c r="G26" s="24">
        <v>45680.0</v>
      </c>
      <c r="H26" s="23" t="s">
        <v>19</v>
      </c>
      <c r="I26" s="25">
        <v>1.1</v>
      </c>
      <c r="J26" s="25">
        <v>17.1</v>
      </c>
      <c r="K26" s="25">
        <v>10.2</v>
      </c>
      <c r="L26" s="25">
        <v>6.9</v>
      </c>
      <c r="M26" s="26" t="s">
        <v>20</v>
      </c>
    </row>
    <row r="27" ht="15.75" customHeight="1">
      <c r="A27" s="7" t="s">
        <v>118</v>
      </c>
      <c r="B27" s="8" t="s">
        <v>119</v>
      </c>
      <c r="C27" s="8" t="s">
        <v>120</v>
      </c>
      <c r="D27" s="8" t="s">
        <v>111</v>
      </c>
      <c r="E27" s="8" t="s">
        <v>121</v>
      </c>
      <c r="F27" s="8" t="s">
        <v>113</v>
      </c>
      <c r="G27" s="9">
        <v>45593.0</v>
      </c>
      <c r="H27" s="8" t="s">
        <v>19</v>
      </c>
      <c r="I27" s="10">
        <v>1.4</v>
      </c>
      <c r="J27" s="10">
        <v>20.7</v>
      </c>
      <c r="K27" s="10">
        <v>5.5</v>
      </c>
      <c r="L27" s="10">
        <v>15.2</v>
      </c>
      <c r="M27" s="11" t="s">
        <v>20</v>
      </c>
    </row>
    <row r="28" ht="15.75" customHeight="1">
      <c r="A28" s="22" t="s">
        <v>122</v>
      </c>
      <c r="B28" s="23" t="s">
        <v>123</v>
      </c>
      <c r="C28" s="23" t="s">
        <v>124</v>
      </c>
      <c r="D28" s="23" t="s">
        <v>111</v>
      </c>
      <c r="E28" s="23" t="s">
        <v>125</v>
      </c>
      <c r="F28" s="23" t="s">
        <v>113</v>
      </c>
      <c r="G28" s="24">
        <v>44149.0</v>
      </c>
      <c r="H28" s="23" t="s">
        <v>32</v>
      </c>
      <c r="I28" s="25">
        <v>5.3</v>
      </c>
      <c r="J28" s="25">
        <v>80.0</v>
      </c>
      <c r="K28" s="25">
        <v>35.6</v>
      </c>
      <c r="L28" s="25">
        <v>44.4</v>
      </c>
      <c r="M28" s="26" t="s">
        <v>20</v>
      </c>
    </row>
    <row r="29" ht="15.75" customHeight="1">
      <c r="A29" s="7" t="s">
        <v>126</v>
      </c>
      <c r="B29" s="8" t="s">
        <v>127</v>
      </c>
      <c r="C29" s="8" t="s">
        <v>128</v>
      </c>
      <c r="D29" s="8" t="s">
        <v>111</v>
      </c>
      <c r="E29" s="8" t="s">
        <v>129</v>
      </c>
      <c r="F29" s="8" t="s">
        <v>113</v>
      </c>
      <c r="G29" s="9">
        <v>44512.0</v>
      </c>
      <c r="H29" s="8" t="s">
        <v>24</v>
      </c>
      <c r="I29" s="10">
        <v>4.3</v>
      </c>
      <c r="J29" s="10">
        <v>65.1</v>
      </c>
      <c r="K29" s="10">
        <v>7.4</v>
      </c>
      <c r="L29" s="10">
        <v>57.7</v>
      </c>
      <c r="M29" s="11" t="s">
        <v>20</v>
      </c>
    </row>
    <row r="30" ht="15.75" customHeight="1">
      <c r="A30" s="22" t="s">
        <v>130</v>
      </c>
      <c r="B30" s="23" t="s">
        <v>131</v>
      </c>
      <c r="C30" s="23" t="s">
        <v>132</v>
      </c>
      <c r="D30" s="23" t="s">
        <v>111</v>
      </c>
      <c r="E30" s="23" t="s">
        <v>112</v>
      </c>
      <c r="F30" s="23" t="s">
        <v>113</v>
      </c>
      <c r="G30" s="24">
        <v>44551.0</v>
      </c>
      <c r="H30" s="23" t="s">
        <v>24</v>
      </c>
      <c r="I30" s="25">
        <v>4.2</v>
      </c>
      <c r="J30" s="25">
        <v>63.4</v>
      </c>
      <c r="K30" s="25">
        <v>9.3</v>
      </c>
      <c r="L30" s="25">
        <v>54.1</v>
      </c>
      <c r="M30" s="26" t="s">
        <v>20</v>
      </c>
    </row>
    <row r="31" ht="15.75" customHeight="1">
      <c r="A31" s="7" t="s">
        <v>133</v>
      </c>
      <c r="B31" s="8" t="s">
        <v>134</v>
      </c>
      <c r="C31" s="8" t="s">
        <v>135</v>
      </c>
      <c r="D31" s="8" t="s">
        <v>111</v>
      </c>
      <c r="E31" s="8" t="s">
        <v>136</v>
      </c>
      <c r="F31" s="8" t="s">
        <v>113</v>
      </c>
      <c r="G31" s="9">
        <v>44913.0</v>
      </c>
      <c r="H31" s="8" t="s">
        <v>24</v>
      </c>
      <c r="I31" s="10">
        <v>3.2</v>
      </c>
      <c r="J31" s="10">
        <v>48.6</v>
      </c>
      <c r="K31" s="10">
        <v>23.9</v>
      </c>
      <c r="L31" s="10">
        <v>24.7</v>
      </c>
      <c r="M31" s="11" t="s">
        <v>20</v>
      </c>
    </row>
    <row r="32" ht="15.75" customHeight="1">
      <c r="A32" s="27" t="s">
        <v>137</v>
      </c>
      <c r="B32" s="28" t="s">
        <v>138</v>
      </c>
      <c r="C32" s="28" t="s">
        <v>139</v>
      </c>
      <c r="D32" s="28" t="s">
        <v>140</v>
      </c>
      <c r="E32" s="28" t="s">
        <v>141</v>
      </c>
      <c r="F32" s="28" t="s">
        <v>113</v>
      </c>
      <c r="G32" s="29">
        <v>45714.0</v>
      </c>
      <c r="H32" s="28" t="s">
        <v>19</v>
      </c>
      <c r="I32" s="30">
        <v>1.0</v>
      </c>
      <c r="J32" s="30">
        <v>15.7</v>
      </c>
      <c r="K32" s="30">
        <v>6.7</v>
      </c>
      <c r="L32" s="30">
        <v>9.0</v>
      </c>
      <c r="M32" s="31" t="s">
        <v>20</v>
      </c>
    </row>
    <row r="33" ht="15.75" customHeight="1">
      <c r="A33" s="7" t="s">
        <v>142</v>
      </c>
      <c r="B33" s="8" t="s">
        <v>143</v>
      </c>
      <c r="C33" s="8" t="s">
        <v>144</v>
      </c>
      <c r="D33" s="8" t="s">
        <v>140</v>
      </c>
      <c r="E33" s="8" t="s">
        <v>145</v>
      </c>
      <c r="F33" s="8" t="s">
        <v>113</v>
      </c>
      <c r="G33" s="9">
        <v>45306.0</v>
      </c>
      <c r="H33" s="8" t="s">
        <v>65</v>
      </c>
      <c r="I33" s="10">
        <v>2.2</v>
      </c>
      <c r="J33" s="10">
        <v>32.4</v>
      </c>
      <c r="K33" s="10">
        <v>12.1</v>
      </c>
      <c r="L33" s="10">
        <v>20.3</v>
      </c>
      <c r="M33" s="11" t="s">
        <v>20</v>
      </c>
    </row>
    <row r="34" ht="15.75" customHeight="1">
      <c r="A34" s="27" t="s">
        <v>146</v>
      </c>
      <c r="B34" s="28" t="s">
        <v>147</v>
      </c>
      <c r="C34" s="28" t="s">
        <v>148</v>
      </c>
      <c r="D34" s="28" t="s">
        <v>140</v>
      </c>
      <c r="E34" s="28" t="s">
        <v>149</v>
      </c>
      <c r="F34" s="28" t="s">
        <v>113</v>
      </c>
      <c r="G34" s="29">
        <v>45004.0</v>
      </c>
      <c r="H34" s="28" t="s">
        <v>65</v>
      </c>
      <c r="I34" s="30">
        <v>3.0</v>
      </c>
      <c r="J34" s="30">
        <v>44.8</v>
      </c>
      <c r="K34" s="30">
        <v>5.1</v>
      </c>
      <c r="L34" s="30">
        <v>39.7</v>
      </c>
      <c r="M34" s="31" t="s">
        <v>20</v>
      </c>
    </row>
    <row r="35" ht="15.75" customHeight="1">
      <c r="A35" s="7" t="s">
        <v>150</v>
      </c>
      <c r="B35" s="8" t="s">
        <v>151</v>
      </c>
      <c r="C35" s="8" t="s">
        <v>152</v>
      </c>
      <c r="D35" s="8" t="s">
        <v>140</v>
      </c>
      <c r="E35" s="8" t="s">
        <v>153</v>
      </c>
      <c r="F35" s="8" t="s">
        <v>113</v>
      </c>
      <c r="G35" s="9">
        <v>44452.0</v>
      </c>
      <c r="H35" s="8" t="s">
        <v>24</v>
      </c>
      <c r="I35" s="10">
        <v>4.5</v>
      </c>
      <c r="J35" s="10">
        <v>67.5</v>
      </c>
      <c r="K35" s="10">
        <v>12.8</v>
      </c>
      <c r="L35" s="10">
        <v>54.7</v>
      </c>
      <c r="M35" s="11" t="s">
        <v>20</v>
      </c>
    </row>
    <row r="36" ht="15.75" customHeight="1">
      <c r="A36" s="32" t="s">
        <v>154</v>
      </c>
      <c r="B36" s="33" t="s">
        <v>155</v>
      </c>
      <c r="C36" s="33" t="s">
        <v>156</v>
      </c>
      <c r="D36" s="33" t="s">
        <v>157</v>
      </c>
      <c r="E36" s="33" t="s">
        <v>158</v>
      </c>
      <c r="F36" s="33" t="s">
        <v>37</v>
      </c>
      <c r="G36" s="34">
        <v>43725.0</v>
      </c>
      <c r="H36" s="33" t="s">
        <v>32</v>
      </c>
      <c r="I36" s="35">
        <v>6.5</v>
      </c>
      <c r="J36" s="35">
        <v>97.4</v>
      </c>
      <c r="K36" s="35">
        <v>15.0</v>
      </c>
      <c r="L36" s="35">
        <v>82.4</v>
      </c>
      <c r="M36" s="36" t="s">
        <v>20</v>
      </c>
    </row>
    <row r="37" ht="15.75" customHeight="1">
      <c r="A37" s="7" t="s">
        <v>159</v>
      </c>
      <c r="B37" s="8" t="s">
        <v>160</v>
      </c>
      <c r="C37" s="8" t="s">
        <v>161</v>
      </c>
      <c r="D37" s="8" t="s">
        <v>157</v>
      </c>
      <c r="E37" s="8" t="s">
        <v>162</v>
      </c>
      <c r="F37" s="8" t="s">
        <v>37</v>
      </c>
      <c r="G37" s="9">
        <v>44678.0</v>
      </c>
      <c r="H37" s="8" t="s">
        <v>24</v>
      </c>
      <c r="I37" s="10">
        <v>3.9</v>
      </c>
      <c r="J37" s="10">
        <v>58.2</v>
      </c>
      <c r="K37" s="10">
        <v>34.3</v>
      </c>
      <c r="L37" s="10">
        <v>23.9</v>
      </c>
      <c r="M37" s="11" t="s">
        <v>20</v>
      </c>
    </row>
    <row r="38" ht="15.75" customHeight="1">
      <c r="A38" s="32" t="s">
        <v>163</v>
      </c>
      <c r="B38" s="33" t="s">
        <v>164</v>
      </c>
      <c r="C38" s="33" t="s">
        <v>165</v>
      </c>
      <c r="D38" s="33" t="s">
        <v>157</v>
      </c>
      <c r="E38" s="33" t="s">
        <v>166</v>
      </c>
      <c r="F38" s="33" t="s">
        <v>37</v>
      </c>
      <c r="G38" s="34">
        <v>45777.0</v>
      </c>
      <c r="H38" s="33" t="s">
        <v>60</v>
      </c>
      <c r="I38" s="35">
        <v>0.9</v>
      </c>
      <c r="J38" s="35">
        <v>13.1</v>
      </c>
      <c r="K38" s="35">
        <v>2.1</v>
      </c>
      <c r="L38" s="35">
        <v>11.0</v>
      </c>
      <c r="M38" s="36" t="s">
        <v>20</v>
      </c>
    </row>
    <row r="39" ht="15.75" customHeight="1">
      <c r="A39" s="7" t="s">
        <v>167</v>
      </c>
      <c r="B39" s="8" t="s">
        <v>168</v>
      </c>
      <c r="C39" s="8" t="s">
        <v>169</v>
      </c>
      <c r="D39" s="8" t="s">
        <v>157</v>
      </c>
      <c r="E39" s="8" t="s">
        <v>170</v>
      </c>
      <c r="F39" s="8" t="s">
        <v>37</v>
      </c>
      <c r="G39" s="9">
        <v>45875.0</v>
      </c>
      <c r="H39" s="8" t="s">
        <v>60</v>
      </c>
      <c r="I39" s="10">
        <v>0.6</v>
      </c>
      <c r="J39" s="10">
        <v>9.1</v>
      </c>
      <c r="K39" s="10">
        <v>5.1</v>
      </c>
      <c r="L39" s="10">
        <v>4.0</v>
      </c>
      <c r="M39" s="11" t="s">
        <v>20</v>
      </c>
    </row>
    <row r="40" ht="15.75" customHeight="1">
      <c r="A40" s="37" t="s">
        <v>171</v>
      </c>
      <c r="B40" s="38" t="s">
        <v>172</v>
      </c>
      <c r="C40" s="38" t="s">
        <v>173</v>
      </c>
      <c r="D40" s="38" t="s">
        <v>174</v>
      </c>
      <c r="E40" s="38" t="s">
        <v>175</v>
      </c>
      <c r="F40" s="38" t="s">
        <v>18</v>
      </c>
      <c r="G40" s="39">
        <v>44363.0</v>
      </c>
      <c r="H40" s="38" t="s">
        <v>24</v>
      </c>
      <c r="I40" s="40">
        <v>4.7</v>
      </c>
      <c r="J40" s="40">
        <v>71.2</v>
      </c>
      <c r="K40" s="40">
        <v>13.3</v>
      </c>
      <c r="L40" s="40">
        <v>57.9</v>
      </c>
      <c r="M40" s="41" t="s">
        <v>20</v>
      </c>
    </row>
    <row r="41" ht="15.75" customHeight="1">
      <c r="A41" s="7" t="s">
        <v>176</v>
      </c>
      <c r="B41" s="8" t="s">
        <v>177</v>
      </c>
      <c r="C41" s="8" t="s">
        <v>178</v>
      </c>
      <c r="D41" s="8" t="s">
        <v>174</v>
      </c>
      <c r="E41" s="8" t="s">
        <v>179</v>
      </c>
      <c r="F41" s="8" t="s">
        <v>18</v>
      </c>
      <c r="G41" s="9">
        <v>45142.0</v>
      </c>
      <c r="H41" s="8" t="s">
        <v>65</v>
      </c>
      <c r="I41" s="10">
        <v>2.6</v>
      </c>
      <c r="J41" s="10">
        <v>39.2</v>
      </c>
      <c r="K41" s="10">
        <v>25.1</v>
      </c>
      <c r="L41" s="10">
        <v>14.1</v>
      </c>
      <c r="M41" s="11" t="s">
        <v>20</v>
      </c>
    </row>
    <row r="42" ht="15.75" customHeight="1">
      <c r="A42" s="37" t="s">
        <v>180</v>
      </c>
      <c r="B42" s="38" t="s">
        <v>181</v>
      </c>
      <c r="C42" s="38" t="s">
        <v>182</v>
      </c>
      <c r="D42" s="38" t="s">
        <v>174</v>
      </c>
      <c r="E42" s="38" t="s">
        <v>183</v>
      </c>
      <c r="F42" s="38" t="s">
        <v>18</v>
      </c>
      <c r="G42" s="39">
        <v>43683.0</v>
      </c>
      <c r="H42" s="38" t="s">
        <v>32</v>
      </c>
      <c r="I42" s="40">
        <v>6.6</v>
      </c>
      <c r="J42" s="40">
        <v>99.1</v>
      </c>
      <c r="K42" s="40">
        <v>60.8</v>
      </c>
      <c r="L42" s="40">
        <v>38.3</v>
      </c>
      <c r="M42" s="41" t="s">
        <v>20</v>
      </c>
    </row>
    <row r="43" ht="15.75" customHeight="1">
      <c r="A43" s="7" t="s">
        <v>184</v>
      </c>
      <c r="B43" s="8" t="s">
        <v>185</v>
      </c>
      <c r="C43" s="8" t="s">
        <v>186</v>
      </c>
      <c r="D43" s="8" t="s">
        <v>174</v>
      </c>
      <c r="E43" s="8" t="s">
        <v>187</v>
      </c>
      <c r="F43" s="8" t="s">
        <v>18</v>
      </c>
      <c r="G43" s="9">
        <v>44718.0</v>
      </c>
      <c r="H43" s="8" t="s">
        <v>24</v>
      </c>
      <c r="I43" s="10">
        <v>3.8</v>
      </c>
      <c r="J43" s="10">
        <v>56.6</v>
      </c>
      <c r="K43" s="10">
        <v>8.4</v>
      </c>
      <c r="L43" s="10">
        <v>48.2</v>
      </c>
      <c r="M43" s="11" t="s">
        <v>20</v>
      </c>
    </row>
    <row r="44" ht="15.75" customHeight="1">
      <c r="A44" s="42" t="s">
        <v>188</v>
      </c>
      <c r="B44" s="43" t="s">
        <v>189</v>
      </c>
      <c r="C44" s="43" t="s">
        <v>190</v>
      </c>
      <c r="D44" s="43" t="s">
        <v>191</v>
      </c>
      <c r="E44" s="43" t="s">
        <v>192</v>
      </c>
      <c r="F44" s="43" t="s">
        <v>193</v>
      </c>
      <c r="G44" s="44">
        <v>43962.0</v>
      </c>
      <c r="H44" s="43" t="s">
        <v>32</v>
      </c>
      <c r="I44" s="45">
        <v>5.8</v>
      </c>
      <c r="J44" s="45">
        <v>87.6</v>
      </c>
      <c r="K44" s="45">
        <v>24.3</v>
      </c>
      <c r="L44" s="45">
        <v>63.3</v>
      </c>
      <c r="M44" s="46" t="s">
        <v>20</v>
      </c>
    </row>
    <row r="45" ht="15.75" customHeight="1">
      <c r="A45" s="7" t="s">
        <v>194</v>
      </c>
      <c r="B45" s="8" t="s">
        <v>195</v>
      </c>
      <c r="C45" s="8" t="s">
        <v>196</v>
      </c>
      <c r="D45" s="8" t="s">
        <v>191</v>
      </c>
      <c r="E45" s="8" t="s">
        <v>197</v>
      </c>
      <c r="F45" s="8" t="s">
        <v>193</v>
      </c>
      <c r="G45" s="9">
        <v>44127.0</v>
      </c>
      <c r="H45" s="8" t="s">
        <v>32</v>
      </c>
      <c r="I45" s="10">
        <v>5.4</v>
      </c>
      <c r="J45" s="10">
        <v>80.9</v>
      </c>
      <c r="K45" s="10">
        <v>8.1</v>
      </c>
      <c r="L45" s="10">
        <v>72.8</v>
      </c>
      <c r="M45" s="11" t="s">
        <v>20</v>
      </c>
    </row>
    <row r="46" ht="15.75" customHeight="1">
      <c r="A46" s="42" t="s">
        <v>198</v>
      </c>
      <c r="B46" s="43" t="s">
        <v>199</v>
      </c>
      <c r="C46" s="43" t="s">
        <v>200</v>
      </c>
      <c r="D46" s="43" t="s">
        <v>191</v>
      </c>
      <c r="E46" s="43" t="s">
        <v>201</v>
      </c>
      <c r="F46" s="43" t="s">
        <v>193</v>
      </c>
      <c r="G46" s="44">
        <v>45435.0</v>
      </c>
      <c r="H46" s="43" t="s">
        <v>19</v>
      </c>
      <c r="I46" s="45">
        <v>1.8</v>
      </c>
      <c r="J46" s="45">
        <v>27.1</v>
      </c>
      <c r="K46" s="45">
        <v>4.7</v>
      </c>
      <c r="L46" s="45">
        <v>22.4</v>
      </c>
      <c r="M46" s="46" t="s">
        <v>20</v>
      </c>
    </row>
    <row r="47" ht="15.75" customHeight="1">
      <c r="A47" s="7" t="s">
        <v>202</v>
      </c>
      <c r="B47" s="8" t="s">
        <v>203</v>
      </c>
      <c r="C47" s="8" t="s">
        <v>204</v>
      </c>
      <c r="D47" s="8" t="s">
        <v>191</v>
      </c>
      <c r="E47" s="8" t="s">
        <v>205</v>
      </c>
      <c r="F47" s="8" t="s">
        <v>206</v>
      </c>
      <c r="G47" s="9">
        <v>43707.0</v>
      </c>
      <c r="H47" s="8" t="s">
        <v>32</v>
      </c>
      <c r="I47" s="10">
        <v>6.5</v>
      </c>
      <c r="J47" s="10">
        <v>98.1</v>
      </c>
      <c r="K47" s="10">
        <v>37.0</v>
      </c>
      <c r="L47" s="10">
        <v>61.1</v>
      </c>
      <c r="M47" s="11" t="s">
        <v>20</v>
      </c>
    </row>
    <row r="48" ht="15.75" customHeight="1">
      <c r="A48" s="47" t="s">
        <v>207</v>
      </c>
      <c r="B48" s="48" t="s">
        <v>208</v>
      </c>
      <c r="C48" s="48" t="s">
        <v>209</v>
      </c>
      <c r="D48" s="48" t="s">
        <v>210</v>
      </c>
      <c r="E48" s="48" t="s">
        <v>211</v>
      </c>
      <c r="F48" s="48" t="s">
        <v>193</v>
      </c>
      <c r="G48" s="49">
        <v>43612.0</v>
      </c>
      <c r="H48" s="48" t="s">
        <v>32</v>
      </c>
      <c r="I48" s="50">
        <v>6.8</v>
      </c>
      <c r="J48" s="50">
        <v>102.0</v>
      </c>
      <c r="K48" s="50">
        <v>30.6</v>
      </c>
      <c r="L48" s="50">
        <v>71.4</v>
      </c>
      <c r="M48" s="51" t="s">
        <v>20</v>
      </c>
    </row>
    <row r="49" ht="15.75" customHeight="1">
      <c r="A49" s="7" t="s">
        <v>212</v>
      </c>
      <c r="B49" s="8" t="s">
        <v>213</v>
      </c>
      <c r="C49" s="8" t="s">
        <v>214</v>
      </c>
      <c r="D49" s="8" t="s">
        <v>210</v>
      </c>
      <c r="E49" s="8" t="s">
        <v>215</v>
      </c>
      <c r="F49" s="8" t="s">
        <v>193</v>
      </c>
      <c r="G49" s="9">
        <v>43616.0</v>
      </c>
      <c r="H49" s="8" t="s">
        <v>32</v>
      </c>
      <c r="I49" s="10">
        <v>6.8</v>
      </c>
      <c r="J49" s="10">
        <v>101.8</v>
      </c>
      <c r="K49" s="10">
        <v>28.5</v>
      </c>
      <c r="L49" s="10">
        <v>73.3</v>
      </c>
      <c r="M49" s="11" t="s">
        <v>20</v>
      </c>
    </row>
    <row r="50" ht="15.75" customHeight="1">
      <c r="A50" s="47" t="s">
        <v>216</v>
      </c>
      <c r="B50" s="48" t="s">
        <v>217</v>
      </c>
      <c r="C50" s="48" t="s">
        <v>218</v>
      </c>
      <c r="D50" s="48" t="s">
        <v>210</v>
      </c>
      <c r="E50" s="48" t="s">
        <v>219</v>
      </c>
      <c r="F50" s="48" t="s">
        <v>193</v>
      </c>
      <c r="G50" s="49">
        <v>45108.0</v>
      </c>
      <c r="H50" s="48" t="s">
        <v>65</v>
      </c>
      <c r="I50" s="50">
        <v>2.7</v>
      </c>
      <c r="J50" s="50">
        <v>40.6</v>
      </c>
      <c r="K50" s="50">
        <v>28.3</v>
      </c>
      <c r="L50" s="50">
        <v>12.3</v>
      </c>
      <c r="M50" s="51" t="s">
        <v>20</v>
      </c>
    </row>
    <row r="51" ht="15.75" customHeight="1">
      <c r="A51" s="7" t="s">
        <v>220</v>
      </c>
      <c r="B51" s="8" t="s">
        <v>221</v>
      </c>
      <c r="C51" s="8" t="s">
        <v>222</v>
      </c>
      <c r="D51" s="8" t="s">
        <v>223</v>
      </c>
      <c r="E51" s="8" t="s">
        <v>224</v>
      </c>
      <c r="F51" s="8" t="s">
        <v>225</v>
      </c>
      <c r="G51" s="9">
        <v>45440.0</v>
      </c>
      <c r="H51" s="8" t="s">
        <v>19</v>
      </c>
      <c r="I51" s="10">
        <v>1.8</v>
      </c>
      <c r="J51" s="10">
        <v>26.9</v>
      </c>
      <c r="K51" s="10">
        <v>9.6</v>
      </c>
      <c r="L51" s="10">
        <v>17.3</v>
      </c>
      <c r="M51" s="11" t="s">
        <v>20</v>
      </c>
    </row>
    <row r="52" ht="15.75" customHeight="1">
      <c r="A52" s="52" t="s">
        <v>226</v>
      </c>
      <c r="B52" s="53" t="s">
        <v>227</v>
      </c>
      <c r="C52" s="53" t="s">
        <v>228</v>
      </c>
      <c r="D52" s="53" t="s">
        <v>223</v>
      </c>
      <c r="E52" s="53" t="s">
        <v>229</v>
      </c>
      <c r="F52" s="53" t="s">
        <v>225</v>
      </c>
      <c r="G52" s="54">
        <v>45634.0</v>
      </c>
      <c r="H52" s="53" t="s">
        <v>19</v>
      </c>
      <c r="I52" s="55">
        <v>1.3</v>
      </c>
      <c r="J52" s="55">
        <v>19.0</v>
      </c>
      <c r="K52" s="55">
        <v>10.1</v>
      </c>
      <c r="L52" s="55">
        <v>8.9</v>
      </c>
      <c r="M52" s="56" t="s">
        <v>20</v>
      </c>
    </row>
    <row r="53" ht="15.75" customHeight="1">
      <c r="A53" s="7" t="s">
        <v>230</v>
      </c>
      <c r="B53" s="8" t="s">
        <v>231</v>
      </c>
      <c r="C53" s="8" t="s">
        <v>232</v>
      </c>
      <c r="D53" s="8" t="s">
        <v>223</v>
      </c>
      <c r="E53" s="8" t="s">
        <v>233</v>
      </c>
      <c r="F53" s="8" t="s">
        <v>225</v>
      </c>
      <c r="G53" s="9">
        <v>45557.0</v>
      </c>
      <c r="H53" s="8" t="s">
        <v>19</v>
      </c>
      <c r="I53" s="10">
        <v>1.5</v>
      </c>
      <c r="J53" s="10">
        <v>22.1</v>
      </c>
      <c r="K53" s="10">
        <v>2.4</v>
      </c>
      <c r="L53" s="10">
        <v>19.7</v>
      </c>
      <c r="M53" s="11" t="s">
        <v>20</v>
      </c>
    </row>
    <row r="54" ht="15.75" customHeight="1">
      <c r="A54" s="57" t="s">
        <v>234</v>
      </c>
      <c r="B54" s="58" t="s">
        <v>235</v>
      </c>
      <c r="C54" s="58" t="s">
        <v>236</v>
      </c>
      <c r="D54" s="58" t="s">
        <v>237</v>
      </c>
      <c r="E54" s="58" t="s">
        <v>238</v>
      </c>
      <c r="F54" s="58" t="s">
        <v>206</v>
      </c>
      <c r="G54" s="59">
        <v>45351.0</v>
      </c>
      <c r="H54" s="58" t="s">
        <v>65</v>
      </c>
      <c r="I54" s="60">
        <v>2.0</v>
      </c>
      <c r="J54" s="60">
        <v>30.6</v>
      </c>
      <c r="K54" s="60">
        <v>17.0</v>
      </c>
      <c r="L54" s="60">
        <v>13.6</v>
      </c>
      <c r="M54" s="61" t="s">
        <v>20</v>
      </c>
    </row>
    <row r="55" ht="15.75" customHeight="1">
      <c r="A55" s="7" t="s">
        <v>239</v>
      </c>
      <c r="B55" s="8" t="s">
        <v>240</v>
      </c>
      <c r="C55" s="8" t="s">
        <v>241</v>
      </c>
      <c r="D55" s="8" t="s">
        <v>237</v>
      </c>
      <c r="E55" s="8" t="s">
        <v>242</v>
      </c>
      <c r="F55" s="8" t="s">
        <v>206</v>
      </c>
      <c r="G55" s="9">
        <v>44277.0</v>
      </c>
      <c r="H55" s="8" t="s">
        <v>24</v>
      </c>
      <c r="I55" s="10">
        <v>5.0</v>
      </c>
      <c r="J55" s="10">
        <v>74.7</v>
      </c>
      <c r="K55" s="10">
        <v>31.2</v>
      </c>
      <c r="L55" s="10">
        <v>43.5</v>
      </c>
      <c r="M55" s="11" t="s">
        <v>20</v>
      </c>
    </row>
    <row r="56" ht="15.75" customHeight="1">
      <c r="A56" s="57" t="s">
        <v>243</v>
      </c>
      <c r="B56" s="58" t="s">
        <v>244</v>
      </c>
      <c r="C56" s="58" t="s">
        <v>245</v>
      </c>
      <c r="D56" s="58" t="s">
        <v>237</v>
      </c>
      <c r="E56" s="58" t="s">
        <v>246</v>
      </c>
      <c r="F56" s="58" t="s">
        <v>238</v>
      </c>
      <c r="G56" s="59">
        <v>44430.0</v>
      </c>
      <c r="H56" s="58" t="s">
        <v>24</v>
      </c>
      <c r="I56" s="60">
        <v>4.6</v>
      </c>
      <c r="J56" s="60">
        <v>68.4</v>
      </c>
      <c r="K56" s="60">
        <v>18.3</v>
      </c>
      <c r="L56" s="60">
        <v>50.1</v>
      </c>
      <c r="M56" s="61" t="s">
        <v>20</v>
      </c>
    </row>
    <row r="57" ht="15.75" customHeight="1">
      <c r="A57" s="62" t="s">
        <v>247</v>
      </c>
      <c r="B57" s="63">
        <f>COUNTA(B2:B56)</f>
        <v>55</v>
      </c>
      <c r="J57" s="64">
        <f t="shared" ref="J57:L57" si="1">SUM(J2:J56)</f>
        <v>3002</v>
      </c>
      <c r="K57" s="64">
        <f t="shared" si="1"/>
        <v>876.5</v>
      </c>
      <c r="L57" s="64">
        <f t="shared" si="1"/>
        <v>2125.5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4" width="26.0"/>
    <col customWidth="1" min="5" max="5" width="24.0"/>
    <col customWidth="1" min="6" max="26" width="8.71"/>
  </cols>
  <sheetData>
    <row r="1">
      <c r="A1" s="65" t="s">
        <v>248</v>
      </c>
    </row>
    <row r="2">
      <c r="A2" s="66" t="s">
        <v>249</v>
      </c>
    </row>
    <row r="4" ht="30.0" customHeight="1">
      <c r="A4" s="67" t="s">
        <v>3</v>
      </c>
      <c r="B4" s="67" t="s">
        <v>250</v>
      </c>
      <c r="C4" s="67" t="s">
        <v>251</v>
      </c>
      <c r="D4" s="67" t="s">
        <v>252</v>
      </c>
      <c r="E4" s="67" t="s">
        <v>253</v>
      </c>
    </row>
    <row r="5">
      <c r="A5" s="68" t="s">
        <v>16</v>
      </c>
      <c r="B5" s="69">
        <v>10.0</v>
      </c>
      <c r="C5" s="69">
        <v>650.3</v>
      </c>
      <c r="D5" s="69">
        <v>505.0</v>
      </c>
      <c r="E5" s="69">
        <v>4.3</v>
      </c>
    </row>
    <row r="6">
      <c r="A6" s="70" t="s">
        <v>57</v>
      </c>
      <c r="B6" s="71">
        <v>8.0</v>
      </c>
      <c r="C6" s="71">
        <v>336.5</v>
      </c>
      <c r="D6" s="71">
        <v>240.1</v>
      </c>
      <c r="E6" s="71">
        <v>2.8</v>
      </c>
    </row>
    <row r="7">
      <c r="A7" s="72" t="s">
        <v>89</v>
      </c>
      <c r="B7" s="73">
        <v>5.0</v>
      </c>
      <c r="C7" s="73">
        <v>294.2</v>
      </c>
      <c r="D7" s="73">
        <v>224.9</v>
      </c>
      <c r="E7" s="73">
        <v>3.9</v>
      </c>
    </row>
    <row r="8">
      <c r="A8" s="74" t="s">
        <v>111</v>
      </c>
      <c r="B8" s="75">
        <v>7.0</v>
      </c>
      <c r="C8" s="75">
        <v>336.9</v>
      </c>
      <c r="D8" s="75">
        <v>222.3</v>
      </c>
      <c r="E8" s="75">
        <v>3.2</v>
      </c>
    </row>
    <row r="9">
      <c r="A9" s="76" t="s">
        <v>140</v>
      </c>
      <c r="B9" s="77">
        <v>4.0</v>
      </c>
      <c r="C9" s="77">
        <v>160.4</v>
      </c>
      <c r="D9" s="77">
        <v>123.7</v>
      </c>
      <c r="E9" s="77">
        <v>2.7</v>
      </c>
    </row>
    <row r="10">
      <c r="A10" s="78" t="s">
        <v>157</v>
      </c>
      <c r="B10" s="79">
        <v>4.0</v>
      </c>
      <c r="C10" s="79">
        <v>177.8</v>
      </c>
      <c r="D10" s="79">
        <v>121.3</v>
      </c>
      <c r="E10" s="79">
        <v>3.0</v>
      </c>
    </row>
    <row r="11">
      <c r="A11" s="80" t="s">
        <v>174</v>
      </c>
      <c r="B11" s="81">
        <v>4.0</v>
      </c>
      <c r="C11" s="81">
        <v>266.1</v>
      </c>
      <c r="D11" s="81">
        <v>158.5</v>
      </c>
      <c r="E11" s="81">
        <v>4.4</v>
      </c>
    </row>
    <row r="12">
      <c r="A12" s="82" t="s">
        <v>191</v>
      </c>
      <c r="B12" s="83">
        <v>4.0</v>
      </c>
      <c r="C12" s="83">
        <v>293.7</v>
      </c>
      <c r="D12" s="83">
        <v>219.6</v>
      </c>
      <c r="E12" s="83">
        <v>4.9</v>
      </c>
    </row>
    <row r="13">
      <c r="A13" s="84" t="s">
        <v>210</v>
      </c>
      <c r="B13" s="85">
        <v>3.0</v>
      </c>
      <c r="C13" s="85">
        <v>244.4</v>
      </c>
      <c r="D13" s="85">
        <v>157.0</v>
      </c>
      <c r="E13" s="85">
        <v>5.4</v>
      </c>
    </row>
    <row r="14">
      <c r="A14" s="86" t="s">
        <v>223</v>
      </c>
      <c r="B14" s="87">
        <v>3.0</v>
      </c>
      <c r="C14" s="87">
        <v>68.0</v>
      </c>
      <c r="D14" s="87">
        <v>45.9</v>
      </c>
      <c r="E14" s="87">
        <v>1.5</v>
      </c>
    </row>
    <row r="15">
      <c r="A15" s="88" t="s">
        <v>237</v>
      </c>
      <c r="B15" s="89">
        <v>3.0</v>
      </c>
      <c r="C15" s="89">
        <v>173.7</v>
      </c>
      <c r="D15" s="89">
        <v>107.2</v>
      </c>
      <c r="E15" s="89">
        <v>3.9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3" width="22.0"/>
    <col customWidth="1" min="4" max="4" width="25.0"/>
    <col customWidth="1" min="5" max="6" width="14.0"/>
    <col customWidth="1" min="7" max="8" width="18.0"/>
    <col customWidth="1" min="9" max="9" width="13.0"/>
    <col customWidth="1" min="10" max="10" width="20.0"/>
    <col customWidth="1" min="11" max="11" width="30.0"/>
    <col customWidth="1" min="12" max="26" width="8.71"/>
  </cols>
  <sheetData>
    <row r="1" ht="31.5" customHeight="1">
      <c r="A1" s="67" t="s">
        <v>254</v>
      </c>
      <c r="B1" s="67" t="s">
        <v>255</v>
      </c>
      <c r="C1" s="67" t="s">
        <v>256</v>
      </c>
      <c r="D1" s="67" t="s">
        <v>3</v>
      </c>
      <c r="E1" s="67" t="s">
        <v>257</v>
      </c>
      <c r="F1" s="67" t="s">
        <v>258</v>
      </c>
      <c r="G1" s="67" t="s">
        <v>259</v>
      </c>
      <c r="H1" s="67" t="s">
        <v>260</v>
      </c>
      <c r="I1" s="67" t="s">
        <v>12</v>
      </c>
      <c r="J1" s="67" t="s">
        <v>261</v>
      </c>
      <c r="K1" s="67" t="s">
        <v>262</v>
      </c>
    </row>
    <row r="2">
      <c r="A2" s="90" t="s">
        <v>263</v>
      </c>
      <c r="B2" s="90" t="s">
        <v>13</v>
      </c>
      <c r="C2" s="90" t="s">
        <v>14</v>
      </c>
      <c r="D2" s="91" t="s">
        <v>16</v>
      </c>
      <c r="E2" s="9">
        <v>46113.0</v>
      </c>
      <c r="F2" s="9">
        <v>46122.0</v>
      </c>
      <c r="G2" s="91">
        <v>8.0</v>
      </c>
      <c r="H2" s="9">
        <v>46082.0</v>
      </c>
      <c r="I2" s="11" t="s">
        <v>264</v>
      </c>
      <c r="J2" s="91" t="s">
        <v>221</v>
      </c>
      <c r="K2" s="91"/>
    </row>
    <row r="3">
      <c r="A3" s="90" t="s">
        <v>265</v>
      </c>
      <c r="B3" s="90" t="s">
        <v>33</v>
      </c>
      <c r="C3" s="90" t="s">
        <v>34</v>
      </c>
      <c r="D3" s="91" t="s">
        <v>16</v>
      </c>
      <c r="E3" s="9">
        <v>46147.0</v>
      </c>
      <c r="F3" s="9">
        <v>46158.0</v>
      </c>
      <c r="G3" s="91">
        <v>10.0</v>
      </c>
      <c r="H3" s="9">
        <v>46086.0</v>
      </c>
      <c r="I3" s="92" t="s">
        <v>266</v>
      </c>
      <c r="J3" s="91"/>
      <c r="K3" s="91"/>
    </row>
    <row r="4">
      <c r="A4" s="90" t="s">
        <v>267</v>
      </c>
      <c r="B4" s="90" t="s">
        <v>54</v>
      </c>
      <c r="C4" s="90" t="s">
        <v>55</v>
      </c>
      <c r="D4" s="91" t="s">
        <v>57</v>
      </c>
      <c r="E4" s="9">
        <v>46126.0</v>
      </c>
      <c r="F4" s="9">
        <v>46137.0</v>
      </c>
      <c r="G4" s="91">
        <v>10.0</v>
      </c>
      <c r="H4" s="9">
        <v>46089.0</v>
      </c>
      <c r="I4" s="92" t="s">
        <v>266</v>
      </c>
      <c r="J4" s="91"/>
      <c r="K4" s="91"/>
    </row>
    <row r="5">
      <c r="A5" s="90" t="s">
        <v>268</v>
      </c>
      <c r="B5" s="90" t="s">
        <v>86</v>
      </c>
      <c r="C5" s="90" t="s">
        <v>87</v>
      </c>
      <c r="D5" s="91" t="s">
        <v>89</v>
      </c>
      <c r="E5" s="9">
        <v>46104.0</v>
      </c>
      <c r="F5" s="9">
        <v>46109.0</v>
      </c>
      <c r="G5" s="91">
        <v>5.0</v>
      </c>
      <c r="H5" s="9">
        <v>46091.0</v>
      </c>
      <c r="I5" s="11" t="s">
        <v>264</v>
      </c>
      <c r="J5" s="91" t="s">
        <v>221</v>
      </c>
      <c r="K5" s="91" t="s">
        <v>269</v>
      </c>
    </row>
    <row r="6">
      <c r="A6" s="90" t="s">
        <v>270</v>
      </c>
      <c r="B6" s="90" t="s">
        <v>114</v>
      </c>
      <c r="C6" s="90" t="s">
        <v>109</v>
      </c>
      <c r="D6" s="91" t="s">
        <v>111</v>
      </c>
      <c r="E6" s="9">
        <v>46174.0</v>
      </c>
      <c r="F6" s="9">
        <v>46185.0</v>
      </c>
      <c r="G6" s="91">
        <v>10.0</v>
      </c>
      <c r="H6" s="9">
        <v>46093.0</v>
      </c>
      <c r="I6" s="93" t="s">
        <v>271</v>
      </c>
      <c r="J6" s="91" t="s">
        <v>221</v>
      </c>
      <c r="K6" s="91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3.0"/>
    <col customWidth="1" min="3" max="3" width="22.0"/>
    <col customWidth="1" min="4" max="4" width="13.0"/>
    <col customWidth="1" min="5" max="5" width="10.0"/>
    <col customWidth="1" min="6" max="6" width="12.0"/>
    <col customWidth="1" min="7" max="7" width="22.0"/>
    <col customWidth="1" min="8" max="8" width="20.0"/>
    <col customWidth="1" min="9" max="9" width="45.0"/>
    <col customWidth="1" min="10" max="10" width="13.0"/>
    <col customWidth="1" min="11" max="11" width="20.0"/>
    <col customWidth="1" min="12" max="26" width="8.71"/>
  </cols>
  <sheetData>
    <row r="1" ht="31.5" customHeight="1">
      <c r="A1" s="67" t="s">
        <v>273</v>
      </c>
      <c r="B1" s="67" t="s">
        <v>255</v>
      </c>
      <c r="C1" s="67" t="s">
        <v>256</v>
      </c>
      <c r="D1" s="67" t="s">
        <v>274</v>
      </c>
      <c r="E1" s="67" t="s">
        <v>275</v>
      </c>
      <c r="F1" s="67" t="s">
        <v>276</v>
      </c>
      <c r="G1" s="67" t="s">
        <v>277</v>
      </c>
      <c r="H1" s="67" t="s">
        <v>278</v>
      </c>
      <c r="I1" s="67" t="s">
        <v>279</v>
      </c>
      <c r="J1" s="67" t="s">
        <v>12</v>
      </c>
      <c r="K1" s="67" t="s">
        <v>280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